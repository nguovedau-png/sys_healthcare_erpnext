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KT\3. Betadine URTI\1. Activity 2019\Pharmacy CPE\Report update\"/>
    </mc:Choice>
  </mc:AlternateContent>
  <xr:revisionPtr revIDLastSave="0" documentId="10_ncr:100000_{9A421B33-0D36-4995-B2CF-3634B51F4BD4}" xr6:coauthVersionLast="31" xr6:coauthVersionMax="31" xr10:uidLastSave="{00000000-0000-0000-0000-000000000000}"/>
  <bookViews>
    <workbookView xWindow="0" yWindow="0" windowWidth="19895" windowHeight="7373" xr2:uid="{5A229FD7-1930-48D3-BD28-4FCFC72E0201}"/>
  </bookViews>
  <sheets>
    <sheet name="Master list" sheetId="1" r:id="rId1"/>
    <sheet name="Sheet2" sheetId="2" r:id="rId2"/>
    <sheet name="Danh sach hoàn thành" sheetId="3" r:id="rId3"/>
  </sheets>
  <externalReferences>
    <externalReference r:id="rId4"/>
    <externalReference r:id="rId5"/>
    <externalReference r:id="rId6"/>
  </externalReferences>
  <definedNames>
    <definedName name="_xlnm._FilterDatabase" localSheetId="2" hidden="1">'Danh sach hoàn thành'!$A$1:$L$93</definedName>
    <definedName name="_xlnm._FilterDatabase" localSheetId="0" hidden="1">'Master list'!$A$1:$S$284</definedName>
  </definedNames>
  <calcPr calcId="179017"/>
  <pivotCaches>
    <pivotCache cacheId="13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6" i="1"/>
  <c r="F277" i="1"/>
  <c r="F278" i="1"/>
  <c r="F279" i="1"/>
  <c r="F280" i="1"/>
  <c r="F281" i="1"/>
  <c r="F282" i="1"/>
  <c r="F283" i="1"/>
  <c r="F284" i="1"/>
  <c r="F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6" i="1"/>
  <c r="G277" i="1"/>
  <c r="G278" i="1"/>
  <c r="G279" i="1"/>
  <c r="G280" i="1"/>
  <c r="G281" i="1"/>
  <c r="G282" i="1"/>
  <c r="G283" i="1"/>
  <c r="G284" i="1"/>
  <c r="G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6" i="1"/>
  <c r="H277" i="1"/>
  <c r="H278" i="1"/>
  <c r="H279" i="1"/>
  <c r="H280" i="1"/>
  <c r="H281" i="1"/>
  <c r="H282" i="1"/>
  <c r="H283" i="1"/>
  <c r="H284" i="1"/>
  <c r="H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6" i="1"/>
  <c r="J276" i="1" s="1"/>
  <c r="I277" i="1"/>
  <c r="I278" i="1"/>
  <c r="J278" i="1" s="1"/>
  <c r="I279" i="1"/>
  <c r="I280" i="1"/>
  <c r="J280" i="1" s="1"/>
  <c r="I281" i="1"/>
  <c r="I282" i="1"/>
  <c r="J282" i="1" s="1"/>
  <c r="I283" i="1"/>
  <c r="I284" i="1"/>
  <c r="J284" i="1" s="1"/>
  <c r="I3" i="1"/>
  <c r="J277" i="1" l="1"/>
  <c r="J281" i="1"/>
  <c r="J283" i="1"/>
  <c r="J279" i="1"/>
  <c r="M4" i="1" l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3" i="1"/>
  <c r="L251" i="1" l="1"/>
  <c r="K251" i="1"/>
  <c r="L250" i="1"/>
  <c r="K250" i="1"/>
  <c r="L249" i="1"/>
  <c r="K249" i="1"/>
  <c r="L248" i="1"/>
  <c r="K248" i="1"/>
  <c r="L247" i="1"/>
  <c r="K247" i="1"/>
  <c r="L246" i="1"/>
  <c r="K246" i="1"/>
  <c r="L245" i="1"/>
  <c r="K245" i="1"/>
  <c r="L243" i="1"/>
  <c r="K243" i="1"/>
  <c r="L242" i="1"/>
  <c r="K242" i="1"/>
  <c r="L241" i="1"/>
  <c r="K241" i="1"/>
  <c r="L240" i="1"/>
  <c r="K240" i="1"/>
  <c r="L239" i="1"/>
  <c r="K239" i="1"/>
  <c r="L238" i="1"/>
  <c r="K238" i="1"/>
  <c r="L236" i="1"/>
  <c r="K236" i="1"/>
  <c r="L235" i="1"/>
  <c r="K235" i="1"/>
  <c r="L232" i="1"/>
  <c r="K232" i="1"/>
  <c r="L231" i="1"/>
  <c r="K231" i="1"/>
  <c r="L230" i="1"/>
  <c r="K230" i="1"/>
  <c r="L229" i="1"/>
  <c r="K229" i="1"/>
  <c r="L228" i="1"/>
  <c r="K228" i="1"/>
  <c r="L227" i="1"/>
  <c r="K227" i="1"/>
  <c r="L223" i="1"/>
  <c r="K223" i="1"/>
  <c r="L221" i="1"/>
  <c r="K221" i="1"/>
  <c r="L220" i="1"/>
  <c r="K220" i="1"/>
  <c r="L219" i="1"/>
  <c r="K219" i="1"/>
  <c r="L218" i="1"/>
  <c r="K218" i="1"/>
  <c r="L216" i="1"/>
  <c r="K216" i="1"/>
  <c r="L215" i="1"/>
  <c r="K215" i="1"/>
  <c r="L213" i="1"/>
  <c r="K213" i="1"/>
  <c r="L212" i="1"/>
  <c r="K212" i="1"/>
  <c r="L211" i="1"/>
  <c r="K211" i="1"/>
  <c r="L210" i="1"/>
  <c r="K210" i="1"/>
  <c r="L209" i="1"/>
  <c r="K209" i="1"/>
  <c r="L208" i="1"/>
  <c r="K208" i="1"/>
  <c r="L206" i="1"/>
  <c r="K206" i="1"/>
  <c r="L205" i="1"/>
  <c r="K205" i="1"/>
  <c r="L204" i="1"/>
  <c r="K204" i="1"/>
  <c r="L203" i="1"/>
  <c r="K203" i="1"/>
  <c r="L202" i="1"/>
  <c r="K202" i="1"/>
  <c r="L201" i="1"/>
  <c r="K201" i="1"/>
  <c r="L199" i="1"/>
  <c r="K199" i="1"/>
  <c r="L198" i="1"/>
  <c r="K198" i="1"/>
  <c r="L195" i="1"/>
  <c r="K195" i="1"/>
  <c r="L189" i="1"/>
  <c r="K189" i="1"/>
  <c r="L188" i="1"/>
  <c r="K188" i="1"/>
  <c r="L187" i="1"/>
  <c r="K187" i="1"/>
  <c r="L186" i="1"/>
  <c r="K186" i="1"/>
  <c r="L184" i="1"/>
  <c r="K184" i="1"/>
  <c r="L182" i="1"/>
  <c r="K182" i="1"/>
  <c r="L181" i="1"/>
  <c r="K181" i="1"/>
  <c r="L180" i="1"/>
  <c r="K180" i="1"/>
  <c r="L179" i="1"/>
  <c r="K179" i="1"/>
  <c r="L178" i="1"/>
  <c r="K178" i="1"/>
  <c r="L177" i="1"/>
  <c r="K177" i="1"/>
  <c r="L176" i="1"/>
  <c r="K176" i="1"/>
  <c r="L175" i="1"/>
  <c r="K175" i="1"/>
  <c r="L174" i="1"/>
  <c r="K174" i="1"/>
  <c r="L173" i="1"/>
  <c r="K173" i="1"/>
  <c r="L172" i="1"/>
  <c r="K172" i="1"/>
  <c r="L171" i="1"/>
  <c r="K171" i="1"/>
  <c r="L170" i="1"/>
  <c r="K170" i="1"/>
  <c r="L169" i="1"/>
  <c r="K169" i="1"/>
  <c r="L168" i="1"/>
  <c r="K168" i="1"/>
  <c r="L167" i="1"/>
  <c r="K167" i="1"/>
  <c r="L166" i="1"/>
  <c r="K166" i="1"/>
  <c r="L165" i="1"/>
  <c r="K165" i="1"/>
  <c r="L164" i="1"/>
  <c r="K164" i="1"/>
  <c r="L160" i="1"/>
  <c r="K160" i="1"/>
  <c r="L159" i="1"/>
  <c r="K159" i="1"/>
  <c r="L158" i="1"/>
  <c r="K158" i="1"/>
  <c r="L157" i="1"/>
  <c r="K157" i="1"/>
  <c r="L156" i="1"/>
  <c r="K156" i="1"/>
  <c r="L155" i="1"/>
  <c r="K155" i="1"/>
  <c r="L154" i="1"/>
  <c r="K154" i="1"/>
  <c r="L153" i="1"/>
  <c r="K153" i="1"/>
  <c r="L151" i="1"/>
  <c r="K151" i="1"/>
  <c r="L150" i="1"/>
  <c r="K150" i="1"/>
  <c r="L149" i="1"/>
  <c r="K149" i="1"/>
  <c r="L148" i="1"/>
  <c r="K148" i="1"/>
  <c r="L145" i="1"/>
  <c r="K145" i="1"/>
  <c r="L143" i="1"/>
  <c r="K143" i="1"/>
  <c r="L141" i="1"/>
  <c r="K141" i="1"/>
  <c r="L140" i="1"/>
  <c r="K140" i="1"/>
  <c r="L139" i="1"/>
  <c r="K139" i="1"/>
  <c r="L136" i="1"/>
  <c r="K136" i="1"/>
  <c r="L134" i="1"/>
  <c r="K134" i="1"/>
  <c r="L131" i="1"/>
  <c r="K131" i="1"/>
  <c r="L130" i="1"/>
  <c r="K130" i="1"/>
  <c r="L127" i="1"/>
  <c r="K127" i="1"/>
  <c r="L125" i="1"/>
  <c r="K125" i="1"/>
  <c r="L123" i="1"/>
  <c r="K123" i="1"/>
  <c r="L122" i="1"/>
  <c r="K122" i="1"/>
  <c r="L120" i="1"/>
  <c r="K120" i="1"/>
  <c r="L119" i="1"/>
  <c r="K119" i="1"/>
  <c r="L115" i="1"/>
  <c r="K115" i="1"/>
  <c r="L114" i="1"/>
  <c r="K114" i="1"/>
  <c r="L112" i="1"/>
  <c r="K112" i="1"/>
  <c r="L111" i="1"/>
  <c r="K111" i="1"/>
  <c r="L110" i="1"/>
  <c r="K110" i="1"/>
  <c r="L109" i="1"/>
  <c r="K109" i="1"/>
  <c r="L108" i="1"/>
  <c r="K108" i="1"/>
  <c r="L107" i="1"/>
  <c r="K107" i="1"/>
  <c r="L106" i="1"/>
  <c r="K106" i="1"/>
  <c r="L105" i="1"/>
  <c r="K105" i="1"/>
  <c r="L104" i="1"/>
  <c r="K104" i="1"/>
  <c r="L103" i="1"/>
  <c r="K103" i="1"/>
  <c r="L102" i="1"/>
  <c r="K102" i="1"/>
  <c r="L101" i="1"/>
  <c r="K101" i="1"/>
  <c r="L98" i="1"/>
  <c r="K98" i="1"/>
  <c r="L97" i="1"/>
  <c r="K97" i="1"/>
  <c r="L96" i="1"/>
  <c r="K96" i="1"/>
  <c r="L95" i="1"/>
  <c r="K95" i="1"/>
  <c r="L92" i="1"/>
  <c r="K92" i="1"/>
  <c r="L91" i="1"/>
  <c r="K91" i="1"/>
  <c r="L90" i="1"/>
  <c r="K90" i="1"/>
  <c r="L89" i="1"/>
  <c r="K89" i="1"/>
  <c r="L88" i="1"/>
  <c r="K88" i="1"/>
  <c r="L85" i="1"/>
  <c r="K85" i="1"/>
  <c r="L83" i="1"/>
  <c r="K83" i="1"/>
  <c r="L82" i="1"/>
  <c r="K82" i="1"/>
  <c r="L81" i="1"/>
  <c r="K81" i="1"/>
  <c r="L80" i="1"/>
  <c r="K80" i="1"/>
  <c r="L79" i="1"/>
  <c r="K79" i="1"/>
  <c r="L78" i="1"/>
  <c r="K78" i="1"/>
  <c r="L77" i="1"/>
  <c r="K77" i="1"/>
  <c r="L75" i="1"/>
  <c r="K75" i="1"/>
  <c r="L73" i="1"/>
  <c r="K73" i="1"/>
  <c r="L72" i="1"/>
  <c r="K72" i="1"/>
  <c r="L70" i="1"/>
  <c r="K70" i="1"/>
  <c r="L69" i="1"/>
  <c r="K69" i="1"/>
  <c r="K68" i="1"/>
  <c r="L67" i="1"/>
  <c r="K67" i="1"/>
  <c r="L66" i="1"/>
  <c r="K66" i="1"/>
  <c r="L65" i="1"/>
  <c r="K65" i="1"/>
  <c r="L64" i="1"/>
  <c r="K64" i="1"/>
  <c r="L63" i="1"/>
  <c r="K63" i="1"/>
  <c r="L60" i="1"/>
  <c r="K60" i="1"/>
  <c r="L59" i="1"/>
  <c r="K59" i="1"/>
  <c r="L58" i="1"/>
  <c r="K58" i="1"/>
  <c r="L57" i="1"/>
  <c r="K57" i="1"/>
  <c r="L56" i="1"/>
  <c r="K56" i="1"/>
  <c r="L55" i="1"/>
  <c r="K55" i="1"/>
  <c r="L54" i="1"/>
  <c r="K54" i="1"/>
  <c r="L53" i="1"/>
  <c r="K53" i="1"/>
  <c r="L52" i="1"/>
  <c r="K52" i="1"/>
  <c r="L50" i="1"/>
  <c r="K50" i="1"/>
  <c r="L48" i="1"/>
  <c r="K48" i="1"/>
  <c r="L46" i="1"/>
  <c r="K46" i="1"/>
  <c r="L44" i="1"/>
  <c r="K44" i="1"/>
  <c r="L43" i="1"/>
  <c r="K43" i="1"/>
  <c r="L41" i="1"/>
  <c r="K41" i="1"/>
  <c r="L40" i="1"/>
  <c r="K40" i="1"/>
  <c r="L39" i="1"/>
  <c r="K39" i="1"/>
  <c r="L38" i="1"/>
  <c r="K38" i="1"/>
  <c r="L35" i="1"/>
  <c r="K35" i="1"/>
  <c r="L34" i="1"/>
  <c r="K34" i="1"/>
  <c r="L33" i="1"/>
  <c r="K33" i="1"/>
  <c r="L31" i="1"/>
  <c r="K31" i="1"/>
  <c r="L30" i="1"/>
  <c r="K30" i="1"/>
  <c r="L29" i="1"/>
  <c r="K29" i="1"/>
  <c r="L28" i="1"/>
  <c r="K28" i="1"/>
  <c r="L23" i="1"/>
  <c r="K23" i="1"/>
  <c r="L22" i="1"/>
  <c r="K22" i="1"/>
  <c r="L21" i="1"/>
  <c r="K21" i="1"/>
  <c r="L20" i="1"/>
  <c r="K20" i="1"/>
  <c r="L19" i="1"/>
  <c r="K19" i="1"/>
  <c r="L17" i="1"/>
  <c r="K17" i="1"/>
  <c r="L16" i="1"/>
  <c r="K16" i="1"/>
  <c r="L14" i="1"/>
  <c r="K14" i="1"/>
  <c r="L12" i="1"/>
  <c r="K12" i="1"/>
  <c r="L8" i="1"/>
  <c r="K8" i="1"/>
  <c r="L7" i="1"/>
  <c r="K7" i="1"/>
  <c r="L5" i="1"/>
  <c r="K5" i="1"/>
  <c r="L3" i="1"/>
  <c r="K3" i="1"/>
  <c r="J196" i="1" l="1"/>
  <c r="J197" i="1"/>
  <c r="J198" i="1"/>
  <c r="J200" i="1"/>
  <c r="J201" i="1"/>
  <c r="J203" i="1"/>
  <c r="J205" i="1"/>
  <c r="J207" i="1"/>
  <c r="J208" i="1"/>
  <c r="J210" i="1"/>
  <c r="J212" i="1"/>
  <c r="J214" i="1"/>
  <c r="J215" i="1"/>
  <c r="J217" i="1"/>
  <c r="J218" i="1"/>
  <c r="J220" i="1"/>
  <c r="J222" i="1"/>
  <c r="J223" i="1"/>
  <c r="J228" i="1"/>
  <c r="J230" i="1"/>
  <c r="J232" i="1"/>
  <c r="J236" i="1"/>
  <c r="J241" i="1"/>
  <c r="J243" i="1"/>
  <c r="J246" i="1"/>
  <c r="J248" i="1"/>
  <c r="J250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7" i="1"/>
  <c r="J12" i="1"/>
  <c r="J18" i="1"/>
  <c r="J21" i="1"/>
  <c r="J31" i="1"/>
  <c r="J36" i="1"/>
  <c r="J38" i="1"/>
  <c r="J43" i="1"/>
  <c r="J50" i="1"/>
  <c r="J59" i="1"/>
  <c r="J63" i="1"/>
  <c r="J69" i="1"/>
  <c r="J74" i="1"/>
  <c r="J84" i="1"/>
  <c r="J89" i="1"/>
  <c r="J93" i="1"/>
  <c r="J99" i="1"/>
  <c r="J103" i="1"/>
  <c r="J109" i="1"/>
  <c r="J113" i="1"/>
  <c r="J116" i="1"/>
  <c r="J118" i="1"/>
  <c r="J124" i="1"/>
  <c r="J3" i="1"/>
  <c r="J9" i="1"/>
  <c r="J11" i="1"/>
  <c r="J16" i="1"/>
  <c r="J23" i="1"/>
  <c r="J34" i="1"/>
  <c r="J42" i="1"/>
  <c r="J49" i="1"/>
  <c r="J55" i="1"/>
  <c r="J57" i="1"/>
  <c r="J62" i="1"/>
  <c r="J67" i="1"/>
  <c r="J72" i="1"/>
  <c r="J78" i="1"/>
  <c r="J82" i="1"/>
  <c r="J91" i="1"/>
  <c r="J94" i="1"/>
  <c r="J97" i="1"/>
  <c r="J100" i="1"/>
  <c r="J105" i="1"/>
  <c r="J114" i="1"/>
  <c r="J119" i="1"/>
  <c r="J122" i="1"/>
  <c r="J128" i="1"/>
  <c r="J130" i="1"/>
  <c r="J132" i="1"/>
  <c r="J6" i="1"/>
  <c r="J10" i="1"/>
  <c r="J15" i="1"/>
  <c r="J19" i="1"/>
  <c r="J29" i="1"/>
  <c r="J37" i="1"/>
  <c r="J40" i="1"/>
  <c r="J45" i="1"/>
  <c r="J46" i="1"/>
  <c r="J53" i="1"/>
  <c r="J65" i="1"/>
  <c r="J71" i="1"/>
  <c r="J75" i="1"/>
  <c r="J80" i="1"/>
  <c r="J85" i="1"/>
  <c r="J95" i="1"/>
  <c r="J101" i="1"/>
  <c r="J107" i="1"/>
  <c r="J111" i="1"/>
  <c r="J117" i="1"/>
  <c r="J121" i="1"/>
  <c r="J125" i="1"/>
  <c r="J129" i="1"/>
  <c r="J133" i="1"/>
  <c r="J134" i="1"/>
  <c r="J137" i="1"/>
  <c r="J138" i="1"/>
  <c r="J139" i="1"/>
  <c r="J141" i="1"/>
  <c r="J144" i="1"/>
  <c r="J145" i="1"/>
  <c r="J149" i="1"/>
  <c r="J151" i="1"/>
  <c r="J154" i="1"/>
  <c r="J156" i="1"/>
  <c r="J158" i="1"/>
  <c r="J160" i="1"/>
  <c r="J165" i="1"/>
  <c r="J167" i="1"/>
  <c r="J169" i="1"/>
  <c r="J171" i="1"/>
  <c r="J173" i="1"/>
  <c r="J175" i="1"/>
  <c r="J177" i="1"/>
  <c r="J179" i="1"/>
  <c r="J181" i="1"/>
  <c r="J4" i="1"/>
  <c r="J5" i="1"/>
  <c r="J8" i="1"/>
  <c r="J13" i="1"/>
  <c r="J14" i="1"/>
  <c r="J17" i="1"/>
  <c r="J20" i="1"/>
  <c r="J22" i="1"/>
  <c r="J24" i="1"/>
  <c r="J25" i="1"/>
  <c r="J26" i="1"/>
  <c r="J27" i="1"/>
  <c r="J28" i="1"/>
  <c r="J30" i="1"/>
  <c r="J32" i="1"/>
  <c r="J33" i="1"/>
  <c r="J35" i="1"/>
  <c r="J39" i="1"/>
  <c r="J41" i="1"/>
  <c r="J44" i="1"/>
  <c r="J47" i="1"/>
  <c r="J48" i="1"/>
  <c r="J51" i="1"/>
  <c r="J52" i="1"/>
  <c r="J54" i="1"/>
  <c r="J56" i="1"/>
  <c r="J58" i="1"/>
  <c r="J60" i="1"/>
  <c r="J64" i="1"/>
  <c r="J66" i="1"/>
  <c r="J68" i="1"/>
  <c r="J70" i="1"/>
  <c r="J73" i="1"/>
  <c r="J76" i="1"/>
  <c r="J77" i="1"/>
  <c r="J79" i="1"/>
  <c r="J183" i="1"/>
  <c r="J184" i="1"/>
  <c r="J187" i="1"/>
  <c r="J189" i="1"/>
  <c r="J81" i="1"/>
  <c r="J83" i="1"/>
  <c r="J86" i="1"/>
  <c r="J87" i="1"/>
  <c r="J88" i="1"/>
  <c r="J92" i="1"/>
  <c r="J96" i="1"/>
  <c r="J98" i="1"/>
  <c r="J102" i="1"/>
  <c r="J104" i="1"/>
  <c r="J106" i="1"/>
  <c r="J108" i="1"/>
  <c r="J110" i="1"/>
  <c r="J112" i="1"/>
  <c r="J115" i="1"/>
  <c r="J120" i="1"/>
  <c r="J123" i="1"/>
  <c r="J126" i="1"/>
  <c r="J127" i="1"/>
  <c r="J131" i="1"/>
  <c r="J135" i="1"/>
  <c r="J136" i="1"/>
  <c r="J140" i="1"/>
  <c r="J142" i="1"/>
  <c r="J143" i="1"/>
  <c r="J146" i="1"/>
  <c r="J147" i="1"/>
  <c r="J148" i="1"/>
  <c r="J150" i="1"/>
  <c r="J152" i="1"/>
  <c r="J153" i="1"/>
  <c r="J155" i="1"/>
  <c r="J157" i="1"/>
  <c r="J159" i="1"/>
  <c r="J161" i="1"/>
  <c r="J162" i="1"/>
  <c r="J163" i="1"/>
  <c r="J164" i="1"/>
  <c r="J166" i="1"/>
  <c r="J168" i="1"/>
  <c r="J170" i="1"/>
  <c r="J172" i="1"/>
  <c r="J174" i="1"/>
  <c r="J176" i="1"/>
  <c r="J178" i="1"/>
  <c r="J180" i="1"/>
  <c r="J182" i="1"/>
  <c r="J185" i="1"/>
  <c r="J186" i="1"/>
  <c r="J188" i="1"/>
  <c r="J190" i="1"/>
  <c r="J191" i="1"/>
  <c r="J192" i="1"/>
  <c r="J193" i="1"/>
  <c r="J194" i="1"/>
  <c r="J195" i="1"/>
  <c r="J199" i="1"/>
  <c r="J202" i="1"/>
  <c r="J204" i="1"/>
  <c r="J206" i="1"/>
  <c r="J209" i="1"/>
  <c r="J211" i="1"/>
  <c r="J213" i="1"/>
  <c r="J216" i="1"/>
  <c r="J219" i="1"/>
  <c r="J221" i="1"/>
  <c r="J224" i="1"/>
  <c r="J225" i="1"/>
  <c r="J226" i="1"/>
  <c r="J227" i="1"/>
  <c r="J229" i="1"/>
  <c r="J231" i="1"/>
  <c r="J233" i="1"/>
  <c r="J234" i="1"/>
  <c r="J235" i="1"/>
  <c r="J237" i="1"/>
  <c r="J238" i="1"/>
  <c r="J240" i="1"/>
  <c r="J242" i="1"/>
  <c r="J244" i="1"/>
  <c r="J245" i="1"/>
  <c r="J247" i="1"/>
  <c r="J249" i="1"/>
  <c r="J251" i="1"/>
</calcChain>
</file>

<file path=xl/sharedStrings.xml><?xml version="1.0" encoding="utf-8"?>
<sst xmlns="http://schemas.openxmlformats.org/spreadsheetml/2006/main" count="2495" uniqueCount="1163">
  <si>
    <t>STT</t>
  </si>
  <si>
    <t>ScName</t>
  </si>
  <si>
    <t>Tên nhà thuốc</t>
  </si>
  <si>
    <t>Số điện thoại</t>
  </si>
  <si>
    <t>Địa chỉ</t>
  </si>
  <si>
    <t>Bài 1</t>
  </si>
  <si>
    <t>Bài 2</t>
  </si>
  <si>
    <t>Bài 3</t>
  </si>
  <si>
    <t>Bài 4</t>
  </si>
  <si>
    <t>Results</t>
  </si>
  <si>
    <t>Khu vuc</t>
  </si>
  <si>
    <t>ASM</t>
  </si>
  <si>
    <t>Count of Results</t>
  </si>
  <si>
    <t>Phan Thi Thu Dong</t>
  </si>
  <si>
    <t>bao chau</t>
  </si>
  <si>
    <t>0908770719</t>
  </si>
  <si>
    <t>436, P.08,Quận 10,Hồ Chí Minh</t>
  </si>
  <si>
    <t>A. Tuan</t>
  </si>
  <si>
    <t>A. Tho</t>
  </si>
  <si>
    <t>A. Tri</t>
  </si>
  <si>
    <t>C. Quy</t>
  </si>
  <si>
    <t>Grand Total</t>
  </si>
  <si>
    <t>Total</t>
  </si>
  <si>
    <t>Nguyễn thị thắm</t>
  </si>
  <si>
    <t>nhà thuốc hải đăng</t>
  </si>
  <si>
    <t>0982819628</t>
  </si>
  <si>
    <t>142 vũ trọng phụng, P.Nhân Chính,Thanh Xuân,Hà Nội</t>
  </si>
  <si>
    <t>HN</t>
  </si>
  <si>
    <t>done 1 lession</t>
  </si>
  <si>
    <t>Da Nang</t>
  </si>
  <si>
    <t>Uong Thi Hoang Oanh</t>
  </si>
  <si>
    <t>NHA THUOC MINH TAM</t>
  </si>
  <si>
    <t>0908555420</t>
  </si>
  <si>
    <t>475 BA HAT, P.08,Quận 10,Hồ Chí Minh</t>
  </si>
  <si>
    <t>done 2 lession</t>
  </si>
  <si>
    <t>Nguyễn văn lợi</t>
  </si>
  <si>
    <t xml:space="preserve">nhà thuốc hữu nghị </t>
  </si>
  <si>
    <t>0384880866</t>
  </si>
  <si>
    <t>174 hạ đình, P.Thanh Xuân Trung,Thanh Xuân,Hà Nội</t>
  </si>
  <si>
    <t>done 3 lession</t>
  </si>
  <si>
    <t>NY</t>
  </si>
  <si>
    <t>Vũ Thị Diên</t>
  </si>
  <si>
    <t>NT Thái Hà</t>
  </si>
  <si>
    <t>0906012898</t>
  </si>
  <si>
    <t>86 Lò Đúc, P.Phạm Đình Hổ,Hai Bà Trưng,Hà Nội</t>
  </si>
  <si>
    <t>done all</t>
  </si>
  <si>
    <t>Ha Tinh</t>
  </si>
  <si>
    <t>nguyen thi thu hien</t>
  </si>
  <si>
    <t>nha thuoc huong dung</t>
  </si>
  <si>
    <t>0352494097</t>
  </si>
  <si>
    <t>72a/5 ph9 phuong tan bien, P.Tân Biên,Biên Hòa,Đồng Nai</t>
  </si>
  <si>
    <t>Hải Phòng</t>
  </si>
  <si>
    <t>Nguyen anh phuong</t>
  </si>
  <si>
    <t>nt an huy so 8</t>
  </si>
  <si>
    <t>0356952959</t>
  </si>
  <si>
    <t>Khu do thi thanh thai, P.Dịch Vọng,Cầu Giấy,Hà Nội</t>
  </si>
  <si>
    <t>Nghệ An</t>
  </si>
  <si>
    <t>Nguyễn thị trang</t>
  </si>
  <si>
    <t>nhà thuốc hồ anh tuấn</t>
  </si>
  <si>
    <t>0859363616</t>
  </si>
  <si>
    <t>Tầng 1 - 17T4 trung hoà, P.Nhân Chính,Thanh Xuân,Hà Nội</t>
  </si>
  <si>
    <t>Phú Thọ</t>
  </si>
  <si>
    <t>19339</t>
  </si>
  <si>
    <t>nt 110 vinh tuy</t>
  </si>
  <si>
    <t>0966046385</t>
  </si>
  <si>
    <t>36hoang cau, P.Ô Chợ Dừa,Đống Đa,Hà Nội</t>
  </si>
  <si>
    <t>A. Tuan Total</t>
  </si>
  <si>
    <t>Phan thị Huệ</t>
  </si>
  <si>
    <t>nhà thuốc Đức cường</t>
  </si>
  <si>
    <t>0362225885</t>
  </si>
  <si>
    <t>35 cũ nay 251 Trần Đại Nghĩa, P.Đồng Tâm,Hai Bà Trưng,Hà Nội</t>
  </si>
  <si>
    <t>An Giang</t>
  </si>
  <si>
    <t>nguyễn khắc dũng</t>
  </si>
  <si>
    <t>nhà thuốc minh hồng 2</t>
  </si>
  <si>
    <t>0986891582</t>
  </si>
  <si>
    <t>204 Hoàng Văn Thái, P.Nhân Chính,Thanh Xuân,Hà Nội</t>
  </si>
  <si>
    <t>Cần Thơ</t>
  </si>
  <si>
    <t>Lê Thu Hà</t>
  </si>
  <si>
    <t>NT Ngân Hà</t>
  </si>
  <si>
    <t>0937234829</t>
  </si>
  <si>
    <t>Cong quynh, P.Phạm Ngũ Lão,Quận 1,Hồ Chí Minh</t>
  </si>
  <si>
    <t>Đăk Lăk</t>
  </si>
  <si>
    <t>Nguyễn Bích Thảo</t>
  </si>
  <si>
    <t>Nhà thuốc Thanh Tâm</t>
  </si>
  <si>
    <t>0915960698</t>
  </si>
  <si>
    <t>105/168, P.Ngọc Khánh,Ba Đình,Hà Nội</t>
  </si>
  <si>
    <t>Đồng Nai</t>
  </si>
  <si>
    <t>trần thị thơm</t>
  </si>
  <si>
    <t>quầy thuốc số 11</t>
  </si>
  <si>
    <t>0978974964</t>
  </si>
  <si>
    <t>quốc lộ 14, P.Pơng Drang,Krông Búk,Đắk Lắk</t>
  </si>
  <si>
    <t>Khánh Hòa</t>
  </si>
  <si>
    <t>Vn-Location-3839</t>
  </si>
  <si>
    <t>NT Ngọc Việt</t>
  </si>
  <si>
    <t>0902117077</t>
  </si>
  <si>
    <t>198 Xã Đàn, P.Ô Chợ Dừa,Đống Đa,Hà Nội</t>
  </si>
  <si>
    <t>Vũ Hồng Mỹ</t>
  </si>
  <si>
    <t>Nhà thuốc Long</t>
  </si>
  <si>
    <t>0903325275</t>
  </si>
  <si>
    <t>12, P.Đội Cấn,Ba Đình,Hà Nội</t>
  </si>
  <si>
    <t>la kim ngọc</t>
  </si>
  <si>
    <t>NHA THUOC MINH KHANG 2</t>
  </si>
  <si>
    <t>0704968018</t>
  </si>
  <si>
    <t>110/12 NGUYEN VIET HONG- P. AN PHU, P.An Phú,Ninh Kiều,Cần Thơ</t>
  </si>
  <si>
    <t>NGUYỄN KHẮC QUỐC ĐẠT</t>
  </si>
  <si>
    <t>NHÀ THUỐC BẢO THI 3</t>
  </si>
  <si>
    <t>0907089624</t>
  </si>
  <si>
    <t>79D4, Khu Vực Thạnh Mỹ, P.Thường Thạnh,Cái Răng,Cần Thơ</t>
  </si>
  <si>
    <t>Đồng Tháp</t>
  </si>
  <si>
    <t>Phạm Thị Sắc</t>
  </si>
  <si>
    <t>nhà thuốc Lê Thị Trà Giang</t>
  </si>
  <si>
    <t>0335720069</t>
  </si>
  <si>
    <t>626 minh khai, P.Vĩnh Tuy,Hai Bà Trưng,Hà Nội</t>
  </si>
  <si>
    <t>Nguyễn thị mỹ phúc</t>
  </si>
  <si>
    <t>Nhà thuốc Trường Phúc</t>
  </si>
  <si>
    <t>0934567663</t>
  </si>
  <si>
    <t>Trần Hưng Đạo, P.Mỹ Thới,Long Xuyên,An Giang</t>
  </si>
  <si>
    <t>Loan</t>
  </si>
  <si>
    <t>test</t>
  </si>
  <si>
    <t>0766855066</t>
  </si>
  <si>
    <t>178, P.Tân An,Ninh Kiều,Cần Thơ</t>
  </si>
  <si>
    <t xml:space="preserve">Nguyễn Thế Dương </t>
  </si>
  <si>
    <t xml:space="preserve">Nhà Thuốc Diễm Nhi </t>
  </si>
  <si>
    <t>0904983201</t>
  </si>
  <si>
    <t>23 Hồ Bá Kiện,, P.15,Quận 10,Hồ Chí Minh</t>
  </si>
  <si>
    <t>HCM</t>
  </si>
  <si>
    <t>Phạm Thị Mơ</t>
  </si>
  <si>
    <t>nhà thuốc Anh Tuấn</t>
  </si>
  <si>
    <t>0986190286</t>
  </si>
  <si>
    <t>204 hồng mai, P.Quỳnh Lôi,Hai Bà Trưng,Hà Nội</t>
  </si>
  <si>
    <t>C Hằng</t>
  </si>
  <si>
    <t>NT Thanh Binh</t>
  </si>
  <si>
    <t>0374635903</t>
  </si>
  <si>
    <t>14 Trần Nhân Tông, P.Nguyễn Du,Hai Bà Trưng,Hà Nội</t>
  </si>
  <si>
    <t>Nguyễn Hạnh</t>
  </si>
  <si>
    <t>Nhà thuốc huy hoàng</t>
  </si>
  <si>
    <t>09455882666</t>
  </si>
  <si>
    <t>38 nguyễn Thiệp, P.Đồng Xuân,Hoàn Kiếm,Hà Nội</t>
  </si>
  <si>
    <t>chinh</t>
  </si>
  <si>
    <t>chinh ánh</t>
  </si>
  <si>
    <t>0385750840</t>
  </si>
  <si>
    <t>45, P.Nghĩa Đô,Cầu Giấy,Hà Nội</t>
  </si>
  <si>
    <t xml:space="preserve">Ngô Thi Lâm Thuân </t>
  </si>
  <si>
    <t xml:space="preserve">NT BAO KHOI </t>
  </si>
  <si>
    <t>0908412436</t>
  </si>
  <si>
    <t>702 HUONG LO 2, P. BINH TRI DONG A, P.Bình Hưng Hòa,Bình Tân,Hồ Chí Minh</t>
  </si>
  <si>
    <t>Bình Dương</t>
  </si>
  <si>
    <t>Le thi kim chi</t>
  </si>
  <si>
    <t>NT Hoa Mai</t>
  </si>
  <si>
    <t>0902485557</t>
  </si>
  <si>
    <t>011 Chung Cư Tân Sơn Nhì, P.14,Tân Bình,Hồ Chí Minh</t>
  </si>
  <si>
    <t>Nguyễn Thanh Xuân Nữ</t>
  </si>
  <si>
    <t>Quầy Thuốc Mỹ Anh</t>
  </si>
  <si>
    <t>0913143031</t>
  </si>
  <si>
    <t>197, đường 1/5,, P.Tràm Chim,Tam Nông,Đồng Tháp</t>
  </si>
  <si>
    <t>Ngô thị Yến</t>
  </si>
  <si>
    <t>nhà thuốc Nguyễn thị kim liên</t>
  </si>
  <si>
    <t>0398019788</t>
  </si>
  <si>
    <t>Số 72 phố Trần Bình, P.Mai Dịch,Cầu Giấy,Hà Nội</t>
  </si>
  <si>
    <t>Trần Thị Thuỳ Dương</t>
  </si>
  <si>
    <t>NHA THUOC BONG SAO</t>
  </si>
  <si>
    <t>0932985905</t>
  </si>
  <si>
    <t>10 trần việt châu, P.An Hòa,Ninh Kiều,Cần Thơ</t>
  </si>
  <si>
    <t>Âu Chí Kiên</t>
  </si>
  <si>
    <t>Nhà Thuốc Phương Thảo</t>
  </si>
  <si>
    <t>0938980689</t>
  </si>
  <si>
    <t>08 lô C Mạc Thiên Tích , P.11,Quận 5,Hồ Chí Minh</t>
  </si>
  <si>
    <t>Thái thị huệ</t>
  </si>
  <si>
    <t>nhà thuốc DS Vu Van Thu</t>
  </si>
  <si>
    <t>0982600388</t>
  </si>
  <si>
    <t>81B xuân diệu, P.Quảng An,Tây Hồ,Hà Nội</t>
  </si>
  <si>
    <t>A. Tho Total</t>
  </si>
  <si>
    <t>Đỗ ngọc anh</t>
  </si>
  <si>
    <t>nhà thuốc số 27</t>
  </si>
  <si>
    <t>0981682196</t>
  </si>
  <si>
    <t>192 dãy 1 sa la, P.Phú La,Hà Đông,Hà Nội</t>
  </si>
  <si>
    <t>Đỗ Thuỳ Dương</t>
  </si>
  <si>
    <t>Nhà thuốc Nguyên Khang</t>
  </si>
  <si>
    <t>0372046246</t>
  </si>
  <si>
    <t>Số nhà 168 Phùng Hưng- Hà Đông - Hà Nội, P.Phúc La,Hà Đông,Hà Nội</t>
  </si>
  <si>
    <t xml:space="preserve">Lê Thị Tâm Uyên </t>
  </si>
  <si>
    <t xml:space="preserve">NT Phương Khánh </t>
  </si>
  <si>
    <t>0908275696</t>
  </si>
  <si>
    <t>Hai Bà Trưng, P. Mỹ Long, Tp. Long Xuyên, P.Mỹ Long,Long Xuyên,An Giang</t>
  </si>
  <si>
    <t>Trương Thị Hồng</t>
  </si>
  <si>
    <t>NT Hải Minh</t>
  </si>
  <si>
    <t>0917266219</t>
  </si>
  <si>
    <t>47 Cửu Long, P.15,Quận 10,Hồ Chí Minh</t>
  </si>
  <si>
    <t>tran thi na</t>
  </si>
  <si>
    <t>nt so 86</t>
  </si>
  <si>
    <t>0979336497</t>
  </si>
  <si>
    <t>86 no trang long, P.Tân Tiến,Buôn Ma Thuột,Đắk Lắk</t>
  </si>
  <si>
    <t>Vũ thị bích thuỷ</t>
  </si>
  <si>
    <t>nt minh thu</t>
  </si>
  <si>
    <t>0965568368</t>
  </si>
  <si>
    <t>1035 kp 7 phường long bình , P.Long Bình,Biên Hòa,Đồng Nai</t>
  </si>
  <si>
    <t>A. Tri Total</t>
  </si>
  <si>
    <t>Giang</t>
  </si>
  <si>
    <t>nhà tbuốc Ành Dat</t>
  </si>
  <si>
    <t>0906234770</t>
  </si>
  <si>
    <t>158/34 vinh tuy, P.Vĩnh Tuy,Hai Bà Trưng,Hà Nội</t>
  </si>
  <si>
    <t>Lê Thị Huệ</t>
  </si>
  <si>
    <t>Nhà thuốc Minh Phúc</t>
  </si>
  <si>
    <t>0914741139</t>
  </si>
  <si>
    <t>52 Nguyễn Văn Lượng, P.17,Gò Vấp,Hồ Chí Minh</t>
  </si>
  <si>
    <t>Đào Thị Hòa</t>
  </si>
  <si>
    <t>Nhà thuốc Bảo Ngọc</t>
  </si>
  <si>
    <t>0943958020</t>
  </si>
  <si>
    <t>Số 6 ngõ 34 Âu Cơ, P.Quảng An,Tây Hồ,Hà Nội</t>
  </si>
  <si>
    <t>Phan Thị Thanh Hoài</t>
  </si>
  <si>
    <t>Hoài Trung</t>
  </si>
  <si>
    <t>0906260305</t>
  </si>
  <si>
    <t>95 đường nguyễn Chí Thanh, P.Tân Giang,Hà Tĩnh,Hà Tĩnh</t>
  </si>
  <si>
    <t>Nguyễn Thị Bích Lan</t>
  </si>
  <si>
    <t>NHÀ THUỐC SỐ 12</t>
  </si>
  <si>
    <t>0903031551</t>
  </si>
  <si>
    <t>373 Điện Biên Phủ, P.04,Quận 3,Hồ Chí Minh</t>
  </si>
  <si>
    <t>Lê Thị Kim Anh</t>
  </si>
  <si>
    <t>nhà thuốc Tuấn Khang</t>
  </si>
  <si>
    <t>0979635045</t>
  </si>
  <si>
    <t>số A21 phố dịch vọng hậu, P.Dịch Vọng Hậu,Cầu Giấy,Hà Nội</t>
  </si>
  <si>
    <t>C. Quy Total</t>
  </si>
  <si>
    <t>Vo duy toan</t>
  </si>
  <si>
    <t>Nt Toan Phu</t>
  </si>
  <si>
    <t>0996986777</t>
  </si>
  <si>
    <t>327/37/11 ymoan, P.Tân Lợi,Buôn Ma Thuột,Đắk Lắk</t>
  </si>
  <si>
    <t>Hoa</t>
  </si>
  <si>
    <t>linh anh</t>
  </si>
  <si>
    <t>0979209388</t>
  </si>
  <si>
    <t>104 bạch mai, P.Cầu Dền,Hai Bà Trưng,Hà Nội</t>
  </si>
  <si>
    <t>Võ Thuỳ Trang</t>
  </si>
  <si>
    <t>nt như ý - 351 Tân Hoà Đông . Q.Bình Tân</t>
  </si>
  <si>
    <t>0908822952</t>
  </si>
  <si>
    <t>351 Tân Hoà Dông, P.Bình Trị Đông,Bình Tân,Hồ Chí Minh</t>
  </si>
  <si>
    <t>Nguyễn Thị Hậu</t>
  </si>
  <si>
    <t>Nhà thuốc Mạnh Hà</t>
  </si>
  <si>
    <t>0382939620</t>
  </si>
  <si>
    <t>Số 145 Quan Nhân, P.Nhân Chính,Thanh Xuân,Hà Nội</t>
  </si>
  <si>
    <t>Nguyễn Thị Thảo Nguyên</t>
  </si>
  <si>
    <t>Nha Thuoc Minh Khang</t>
  </si>
  <si>
    <t>0907406779</t>
  </si>
  <si>
    <t>73 Tran Binh Trong- P. 1, P.01,Quận 5,Hồ Chí Minh</t>
  </si>
  <si>
    <t>Bùi Duy Anh</t>
  </si>
  <si>
    <t>Nhà thuốc Bảo Nguyên</t>
  </si>
  <si>
    <t>0979894385</t>
  </si>
  <si>
    <t>451 lạc long quân, P.Xuân La,Tây Hồ,Hà Nội</t>
  </si>
  <si>
    <t>TRẦN THỊ KIM</t>
  </si>
  <si>
    <t>NHÀ THUỐC NHẬT THANH</t>
  </si>
  <si>
    <t>0335192655</t>
  </si>
  <si>
    <t>74 Lê Đức Thọ, P.07,Gò Vấp,Hồ Chí Minh</t>
  </si>
  <si>
    <t>Lê Hồng Ngọc Thoại</t>
  </si>
  <si>
    <t>NT minh trang</t>
  </si>
  <si>
    <t>0348808485</t>
  </si>
  <si>
    <t>506 Nguyen van cong p3 gv, P.03,Gò Vấp,Hồ Chí Minh</t>
  </si>
  <si>
    <t>nguyễn thị bích hòa</t>
  </si>
  <si>
    <t>SÁNG TÂM</t>
  </si>
  <si>
    <t>0905713139</t>
  </si>
  <si>
    <t>4 yersin , P.Xương Huân,Nha Trang,Khánh Hòa</t>
  </si>
  <si>
    <t>Nguyễn Thị Huệ</t>
  </si>
  <si>
    <t>quầy thuốc số 04</t>
  </si>
  <si>
    <t>0986998280</t>
  </si>
  <si>
    <t>2775, P.Vân Cơ,Việt Trì,Phú Thọ</t>
  </si>
  <si>
    <t>vo trung tri</t>
  </si>
  <si>
    <t>NT QUANG TRUNG</t>
  </si>
  <si>
    <t>0904618036</t>
  </si>
  <si>
    <t>124 ngo gia tự, P.Cam Nghĩa,Cam Ranh,Khánh Hòa</t>
  </si>
  <si>
    <t>Nguyen Thi Kim Hong</t>
  </si>
  <si>
    <t>NT An</t>
  </si>
  <si>
    <t>0909473674</t>
  </si>
  <si>
    <t>G4A, P.15,Quận 10,Hồ Chí Minh</t>
  </si>
  <si>
    <t>Trần Thị Tuyết</t>
  </si>
  <si>
    <t>NT Linh Chi</t>
  </si>
  <si>
    <t>0337319911</t>
  </si>
  <si>
    <t>270 Trường Chinh, P.Lê Lợi,Vinh,Nghệ An</t>
  </si>
  <si>
    <t>Nguyễn thị ánh tuyết</t>
  </si>
  <si>
    <t>gia phong</t>
  </si>
  <si>
    <t>0838313886</t>
  </si>
  <si>
    <t>54, P.Đống Mác,Hai Bà Trưng,Hà Nội</t>
  </si>
  <si>
    <t>Võ Thị Bút</t>
  </si>
  <si>
    <t xml:space="preserve">Nha thuoc Quốc Bảo </t>
  </si>
  <si>
    <t>0938855106</t>
  </si>
  <si>
    <t>A49 Nguyễn Thần Hiến, P.18,Quận 4,Hồ Chí Minh</t>
  </si>
  <si>
    <t>Thuỷ</t>
  </si>
  <si>
    <t>NT Thanh Thủy</t>
  </si>
  <si>
    <t>0975994088</t>
  </si>
  <si>
    <t>180 Xuân Diệu, P.Yên Phụ,Tây Hồ,Hà Nội</t>
  </si>
  <si>
    <t>Đinh Thị Thu Nga</t>
  </si>
  <si>
    <t>nhà thuốc Hương Nga</t>
  </si>
  <si>
    <t>0379361655</t>
  </si>
  <si>
    <t>59 Trần Đại Nghĩa, P.Bách Khoa,Hai Bà Trưng,Hà Nội</t>
  </si>
  <si>
    <t>NGUYỄN THỊ VIỄN HỒNG</t>
  </si>
  <si>
    <t>NT NGUYỄN THÔNG</t>
  </si>
  <si>
    <t>0903781130</t>
  </si>
  <si>
    <t>55 BIS A NGUYỄN THÔNG, P.09,Quận 3,Hồ Chí Minh</t>
  </si>
  <si>
    <t>Nguyễn Thị Anh Đào</t>
  </si>
  <si>
    <t>NT KIM OANH</t>
  </si>
  <si>
    <t>0973732068</t>
  </si>
  <si>
    <t>493 Nguyễn Văn Công, P.03,Gò Vấp,Hồ Chí Minh</t>
  </si>
  <si>
    <t>diệp thị thanh thuận</t>
  </si>
  <si>
    <t>quầy thuốc vạn phúc 1</t>
  </si>
  <si>
    <t>0853951656</t>
  </si>
  <si>
    <t>91 trần quý cáp, P.Diên Khánh,Diên Khánh,Khánh Hòa</t>
  </si>
  <si>
    <t>phạm thi mỹ Duyên</t>
  </si>
  <si>
    <t>nha thuốc Thanh Huyền</t>
  </si>
  <si>
    <t>0971399267</t>
  </si>
  <si>
    <t>66 to 22 mai dịch, P.Mai Dịch,Cầu Giấy,Hà Nội</t>
  </si>
  <si>
    <t xml:space="preserve">võ hoàng thái </t>
  </si>
  <si>
    <t xml:space="preserve">nhà thuốc ngọc thủy </t>
  </si>
  <si>
    <t>0932344890</t>
  </si>
  <si>
    <t>203/1 lac long quân , P.03,Quận 11,Hồ Chí Minh</t>
  </si>
  <si>
    <t>Văn Mỹ Phụng</t>
  </si>
  <si>
    <t>NHA THUOC KHANH NGOC</t>
  </si>
  <si>
    <t>0856930090</t>
  </si>
  <si>
    <t>380P/14B Nguyễn Văn Cừ, P.Xuân Khánh,Ninh Kiều,Cần Thơ</t>
  </si>
  <si>
    <t>Bùi Thị Nhật</t>
  </si>
  <si>
    <t>nhà thuốc Phương Chính</t>
  </si>
  <si>
    <t>0962541648</t>
  </si>
  <si>
    <t>169 Mai Hac De, P.Lê Đại Hành,Hai Bà Trưng,Hà Nội</t>
  </si>
  <si>
    <t>Hạnh</t>
  </si>
  <si>
    <t>Hạnh Quyền</t>
  </si>
  <si>
    <t>0979379730</t>
  </si>
  <si>
    <t>28 Đội Cấn, P.Đội Cấn,Ba Đình,Hà Nội</t>
  </si>
  <si>
    <t>Bùi Thị Hoa</t>
  </si>
  <si>
    <t>Nhà Thuốc Tân An</t>
  </si>
  <si>
    <t>0912174547</t>
  </si>
  <si>
    <t>1/1, ấp An Hòa, P.Hóa An,Biên Hòa,Đồng Nai</t>
  </si>
  <si>
    <t>Trần Thị Thu Huyền</t>
  </si>
  <si>
    <t>Nhà thuốc Hải Chiến</t>
  </si>
  <si>
    <t>0967861178</t>
  </si>
  <si>
    <t>132, P.Phùng,Đan Phượng,Hà Nội</t>
  </si>
  <si>
    <t>Bùi Thị Hồng</t>
  </si>
  <si>
    <t>NT Kim Châu</t>
  </si>
  <si>
    <t>0907909622</t>
  </si>
  <si>
    <t>16 Hồ Bá Kiện - P.15, P.15,Quận 10,Hồ Chí Minh</t>
  </si>
  <si>
    <t>Nguyễn thị huế</t>
  </si>
  <si>
    <t>nhà thuốc 36</t>
  </si>
  <si>
    <t>0383720189</t>
  </si>
  <si>
    <t>Số 4, ngõ 58, phố trần bình, P.Mai Dịch,Cầu Giấy,Hà Nội</t>
  </si>
  <si>
    <t>Đỗ Thị Trúc Mai</t>
  </si>
  <si>
    <t>Nhà thuốc Khang An</t>
  </si>
  <si>
    <t>0342826369</t>
  </si>
  <si>
    <t>176A Thống Nhất, P.Phương Sài,Nha Trang,Khánh Hòa</t>
  </si>
  <si>
    <t>Chiêu Phước Lộc</t>
  </si>
  <si>
    <t>Nhà thuốc Bình Châu</t>
  </si>
  <si>
    <t>0939544608</t>
  </si>
  <si>
    <t>315A/10 nguyễn văn linh, P.An Khánh,Ninh Kiều,Cần Thơ</t>
  </si>
  <si>
    <t>Nguyễn Thị Hoa</t>
  </si>
  <si>
    <t>Nhà thuốc hoài thu</t>
  </si>
  <si>
    <t>033650324</t>
  </si>
  <si>
    <t>45/295 bạch mai, P.Bạch Mai,Hai Bà Trưng,Hà Nội</t>
  </si>
  <si>
    <t>PHẠM THỊ THU HÀ</t>
  </si>
  <si>
    <t>nha thuoc tu nhan Duc Cuong</t>
  </si>
  <si>
    <t>0964203960</t>
  </si>
  <si>
    <t>so 5- A28, phuong nghia tan, P.Nghĩa Tân,Cầu Giấy,Hà Nội</t>
  </si>
  <si>
    <t>Nguyễn Ngọc Tân</t>
  </si>
  <si>
    <t>Nhà thuốc DS Nguyễn Thị Vũ Thành</t>
  </si>
  <si>
    <t>0358526172</t>
  </si>
  <si>
    <t>106H4, P.Thành Công,Ba Đình,Hà Nội</t>
  </si>
  <si>
    <t>Trương Thị Thanh</t>
  </si>
  <si>
    <t>NHA THUOC VIFA PHARMACY</t>
  </si>
  <si>
    <t>0395170865</t>
  </si>
  <si>
    <t>80/12 BA VAN- P. 14, P.14,Tân Bình,Hồ Chí Minh</t>
  </si>
  <si>
    <t>Tô Kim Huệ</t>
  </si>
  <si>
    <t>NHA THUOC KIM PHỤNG</t>
  </si>
  <si>
    <t>0946344242</t>
  </si>
  <si>
    <t>2B KV Thạnh Mỹ, P.Thường Thạnh,Cái Răng,Cần Thơ</t>
  </si>
  <si>
    <t>Nguyễn thị lương</t>
  </si>
  <si>
    <t>Nhà Thuốc Global Tiệp Tươi</t>
  </si>
  <si>
    <t>0975384392</t>
  </si>
  <si>
    <t>15b1 , P.Thành Công,Ba Đình,Hà Nội</t>
  </si>
  <si>
    <t>Nguyễn Thị Hường</t>
  </si>
  <si>
    <t>quầy thuốc 89</t>
  </si>
  <si>
    <t>0834377770</t>
  </si>
  <si>
    <t>25 lý tự trọng , P.Tân An,Buôn Ma Thuột,Đắk Lắk</t>
  </si>
  <si>
    <t>biên</t>
  </si>
  <si>
    <t xml:space="preserve">nhà thuốc 52 nguyễn trãi </t>
  </si>
  <si>
    <t>0368921989</t>
  </si>
  <si>
    <t>52 nguyễn trãi, P.Nhân Chính,Thanh Xuân,Hà Nội</t>
  </si>
  <si>
    <t>Lê thị xuân</t>
  </si>
  <si>
    <t>nhà thuốc chính hãng</t>
  </si>
  <si>
    <t>0983797486</t>
  </si>
  <si>
    <t>31 bế văn đàn, P.Quang Trung,Hà Đông,Hà Nội</t>
  </si>
  <si>
    <t>Võ thị thuỳ trinh</t>
  </si>
  <si>
    <t>nhà thuốc khôi nguyên</t>
  </si>
  <si>
    <t>0905360374</t>
  </si>
  <si>
    <t>65 vân đồn, P.Phước Hòa,Nha Trang,Khánh Hòa</t>
  </si>
  <si>
    <t>Lê Trung Hiếu</t>
  </si>
  <si>
    <t>Nt Bệnh Viện Thuận An</t>
  </si>
  <si>
    <t>0982831858</t>
  </si>
  <si>
    <t>Nguyễn Văn Tiết, P.Lái Thiêu,Thuận An,Bình Dương</t>
  </si>
  <si>
    <t xml:space="preserve">Trần thị xuyến </t>
  </si>
  <si>
    <t xml:space="preserve">nhà thuốc an xuyên </t>
  </si>
  <si>
    <t>0988192916</t>
  </si>
  <si>
    <t>233 đường thanh nhàn , P.Thanh Nhàn,Hai Bà Trưng,Hà Nội</t>
  </si>
  <si>
    <t>Hoàng Mỹ Linh</t>
  </si>
  <si>
    <t xml:space="preserve">NHÀ THUỐC MINH </t>
  </si>
  <si>
    <t>0375231202</t>
  </si>
  <si>
    <t>79 trương Định, P.Trương Định,Hai Bà Trưng,Hà Nội</t>
  </si>
  <si>
    <t>Bui Quang Tri</t>
  </si>
  <si>
    <t>Hung phat</t>
  </si>
  <si>
    <t>0933168858</t>
  </si>
  <si>
    <t>298 Le Van Luong, P.Phước Kiển,Nhà Bè,Hồ Chí Minh</t>
  </si>
  <si>
    <t>Nguyễn thị dung</t>
  </si>
  <si>
    <t>nhà thuốc ngọc thanh</t>
  </si>
  <si>
    <t>0358411011</t>
  </si>
  <si>
    <t>74 quang trung, P.Quang Trung,Hà Đông,Hà Nội</t>
  </si>
  <si>
    <t>Lê thị giang</t>
  </si>
  <si>
    <t>nhà thuốc 22</t>
  </si>
  <si>
    <t>0968325991</t>
  </si>
  <si>
    <t>184 phùng hưng, P.Phúc La,Hà Đông,Hà Nội</t>
  </si>
  <si>
    <t>Nguyễn Thị Thanh Thúy</t>
  </si>
  <si>
    <t>quầy Thanh Thúy (quầy 1196)</t>
  </si>
  <si>
    <t>0982601483</t>
  </si>
  <si>
    <t>8/10b, đường Huỳnh Văn Nghệ, P.Bửu Long,Biên Hòa,Đồng Nai</t>
  </si>
  <si>
    <t>Cẩm Tú</t>
  </si>
  <si>
    <t>Nhà thuốc Cẩm Tú</t>
  </si>
  <si>
    <t>0913608415</t>
  </si>
  <si>
    <t>69A Nguyễn Văn Linh, P.Mỹ Phước,Long Xuyên,An Giang</t>
  </si>
  <si>
    <t>Trần Phương Thanh</t>
  </si>
  <si>
    <t>nhà thuốc Thanh Tâm</t>
  </si>
  <si>
    <t>0972629129</t>
  </si>
  <si>
    <t>504 Minh Khai, P.Vĩnh Tuy,Hai Bà Trưng,Hà Nội</t>
  </si>
  <si>
    <t>Đoàn thị bé</t>
  </si>
  <si>
    <t>nt thư phát</t>
  </si>
  <si>
    <t>0934031747</t>
  </si>
  <si>
    <t>Huỳnh văn nghệ, P.Bửu Long,Biên Hòa,Đồng Nai</t>
  </si>
  <si>
    <t>nhà thuốc minh tiến</t>
  </si>
  <si>
    <t>0982028315</t>
  </si>
  <si>
    <t>5 nguyễn quý đức, P.Thanh Xuân Bắc,Thanh Xuân,Hà Nội</t>
  </si>
  <si>
    <t>Nguyễn Thị An</t>
  </si>
  <si>
    <t>Nhà Thuốc Tuệ Minh</t>
  </si>
  <si>
    <t>03989999</t>
  </si>
  <si>
    <t>278A Khương Trung, P.Khương Trung,Thanh Xuân,Hà Nội</t>
  </si>
  <si>
    <t>Lê Thị Ninh</t>
  </si>
  <si>
    <t>nhà thuốc 25</t>
  </si>
  <si>
    <t>0987074092</t>
  </si>
  <si>
    <t>266 Lê Thanh Nghị, P.Đồng Tâm,Hai Bà Trưng,Hà Nội</t>
  </si>
  <si>
    <t>Ngô Thị Thanh Tuyền</t>
  </si>
  <si>
    <t>NHA THUOC HOANG HAI</t>
  </si>
  <si>
    <t>0907469232</t>
  </si>
  <si>
    <t>Cạnh 335B|1,KV 4,, P.An Khánh,Ninh Kiều,Cần Thơ</t>
  </si>
  <si>
    <t>ho thi thanh</t>
  </si>
  <si>
    <t>nt dong duong</t>
  </si>
  <si>
    <t>0972116984</t>
  </si>
  <si>
    <t>184 ngo quyen, P.Tân An,Buôn Ma Thuột,Đắk Lắk</t>
  </si>
  <si>
    <t>Nguyễn Thị Hồng Phiến</t>
  </si>
  <si>
    <t>Nhà thuốc Thanh Vân</t>
  </si>
  <si>
    <t>0939650407</t>
  </si>
  <si>
    <t>632 đường 30/4, P.Hưng Lợi,Ninh Kiều,Cần Thơ</t>
  </si>
  <si>
    <t>NGO CHIEN</t>
  </si>
  <si>
    <t>NT HUNG VUONG</t>
  </si>
  <si>
    <t>0913711611</t>
  </si>
  <si>
    <t>Kios A7, P.Tiên Cát,Việt Trì,Phú Thọ</t>
  </si>
  <si>
    <t>Cao Thu Thảo</t>
  </si>
  <si>
    <t>NT THU THẢO</t>
  </si>
  <si>
    <t>0903189079</t>
  </si>
  <si>
    <t>97T Trần Văn Đang, P.09,Quận 3,Hồ Chí Minh</t>
  </si>
  <si>
    <t>Nguyen Thi Ngoc Tram</t>
  </si>
  <si>
    <t>Nt Minh An</t>
  </si>
  <si>
    <t>0839192727</t>
  </si>
  <si>
    <t>254 phan chu trinh, P.Tân Lợi,Buôn Ma Thuột,Đắk Lắk</t>
  </si>
  <si>
    <t>Đặng hữu trung</t>
  </si>
  <si>
    <t>quay thuoc  thanh liem</t>
  </si>
  <si>
    <t>0946062900</t>
  </si>
  <si>
    <t>To 32 khu cau xeo, P.Long Thành,Long Thành,Đồng Nai</t>
  </si>
  <si>
    <t>Nguyễn Thị Kim Ngân</t>
  </si>
  <si>
    <t>Nt Gia vinh pharmacy</t>
  </si>
  <si>
    <t>0938317098</t>
  </si>
  <si>
    <t>B21 duong D4, kdc Him Lam, P.Tân Hưng,Quận 7,Hồ Chí Minh</t>
  </si>
  <si>
    <t>Tăng Bá Thùy Trâm</t>
  </si>
  <si>
    <t>Nhà Thuốc Khánh Đăng</t>
  </si>
  <si>
    <t>0906930651</t>
  </si>
  <si>
    <t>134 Cách Mạng Tháng Tám, P.Bình Thủy,Bình Thuỷ,Cần Thơ</t>
  </si>
  <si>
    <t>nguyen văn thu</t>
  </si>
  <si>
    <t>nt thanh huyen</t>
  </si>
  <si>
    <t>0983916599</t>
  </si>
  <si>
    <t>71 vũ trọng phụng, P.Thanh Xuân Trung,Thanh Xuân,Hà Nội</t>
  </si>
  <si>
    <t>Nguyễn Thị Kiều Oanh</t>
  </si>
  <si>
    <t>Nhà thuốc Thanh Sơn</t>
  </si>
  <si>
    <t>0945597862</t>
  </si>
  <si>
    <t>213 Nguyễn Văn Cừ, P.An Bình,Ninh Kiều,Cần Thơ</t>
  </si>
  <si>
    <t>nguyễn thị thùy</t>
  </si>
  <si>
    <t>nhà thuốc ngọc cầm</t>
  </si>
  <si>
    <t>0337577285</t>
  </si>
  <si>
    <t>số 48 đường cầu giấy, P.Quan Hoa,Cầu Giấy,Hà Nội</t>
  </si>
  <si>
    <t>Đào Mỹ Xuân</t>
  </si>
  <si>
    <t>NT Long Châu 2</t>
  </si>
  <si>
    <t>0773455216</t>
  </si>
  <si>
    <t>399 Hai Bà Trưng - P.8, P.Vĩnh Hoà,Nha Trang,Khánh Hòa</t>
  </si>
  <si>
    <t>Trương Thị Mỹ Hoa</t>
  </si>
  <si>
    <t>nha thuoc Bích Huy</t>
  </si>
  <si>
    <t>0377446330</t>
  </si>
  <si>
    <t>65 Mã Mây, P.Hàng Buồm,Hoàn Kiếm,Hà Nội</t>
  </si>
  <si>
    <t>Nguyễn thanh vân</t>
  </si>
  <si>
    <t>Nhà thuốc Vạn Phúc</t>
  </si>
  <si>
    <t>0972686339</t>
  </si>
  <si>
    <t>Số 124 ngõ 166 kim mã, P.Kim Mã,Ba Đình,Hà Nội</t>
  </si>
  <si>
    <t>Tạ Văn Biên</t>
  </si>
  <si>
    <t>Nhà Thuốc Việt Hùng</t>
  </si>
  <si>
    <t>0973701339</t>
  </si>
  <si>
    <t>Kiot7  CT4A KDT Xa La, P.Phúc La,Hà Đông,Hà Nội</t>
  </si>
  <si>
    <t>Nguyễn Thị Hà</t>
  </si>
  <si>
    <t>Nhà Thuốc 37</t>
  </si>
  <si>
    <t>0972505200</t>
  </si>
  <si>
    <t>Số 4 Đường Lê Văn Hưu, P.Trường Thi,Vinh,Nghệ An</t>
  </si>
  <si>
    <t>Nguyễn Hương Thảo</t>
  </si>
  <si>
    <t>Nhà thuốc số 6 Trương Định</t>
  </si>
  <si>
    <t>0961729669</t>
  </si>
  <si>
    <t>Số 6 Trương Định, P.Trương Định,Hai Bà Trưng,Hà Nội</t>
  </si>
  <si>
    <t>Nguyễn trần thuỷ tiên</t>
  </si>
  <si>
    <t>nhà thuốc thiện chí</t>
  </si>
  <si>
    <t>093566800</t>
  </si>
  <si>
    <t>19A đường 2/4, P.Vĩnh Phước,Nha Trang,Khánh Hòa</t>
  </si>
  <si>
    <t>Dương Thị Đào</t>
  </si>
  <si>
    <t>nhà thuốc tư nhân thành công 2</t>
  </si>
  <si>
    <t>0354399713</t>
  </si>
  <si>
    <t>số 28,phố trung hòa,tổ 18,phường trung hòa, P.Trung Hoà,Cầu Giấy,Hà Nội</t>
  </si>
  <si>
    <t>Nguyễn Thị Phương Mai</t>
  </si>
  <si>
    <t>Nhà thuốc Phi 5</t>
  </si>
  <si>
    <t>0911386688</t>
  </si>
  <si>
    <t>77 Nguyễn Hữu Huân, P.Lý Thái Tổ,Hoàn Kiếm,Hà Nội</t>
  </si>
  <si>
    <t>Vũ Thành A Uy</t>
  </si>
  <si>
    <t>NT Uy Vũ</t>
  </si>
  <si>
    <t>0906870767</t>
  </si>
  <si>
    <t>265/31 Phạm Ngũ Lão. , P.Phạm Ngũ Lão,Quận 1,Hồ Chí Minh</t>
  </si>
  <si>
    <t>Nguyễn Thị Thuỳ Vân</t>
  </si>
  <si>
    <t>NHÀ THUỐC THANH BÌNH</t>
  </si>
  <si>
    <t>0395934439</t>
  </si>
  <si>
    <t>484 Nguyễn Thái Sơn, P.05,Gò Vấp,Hồ Chí Minh</t>
  </si>
  <si>
    <t>Le thi giang Thanh</t>
  </si>
  <si>
    <t xml:space="preserve">nha thuoc 77 </t>
  </si>
  <si>
    <t>0903629968</t>
  </si>
  <si>
    <t>91 duong 18 phuoc binh quan 9, P.Phước Bình,Quận 9,Hồ Chí Minh</t>
  </si>
  <si>
    <t>Lê Thị Thương</t>
  </si>
  <si>
    <t>nhà thuốc bình an</t>
  </si>
  <si>
    <t>0966002600</t>
  </si>
  <si>
    <t>56 hàng hòm , P.Hàng Gai,Hoàn Kiếm,Hà Nội</t>
  </si>
  <si>
    <t>42241</t>
  </si>
  <si>
    <t>QUAY THUOC MINH HUNG</t>
  </si>
  <si>
    <t>0905081777</t>
  </si>
  <si>
    <t>CAY SO 5, VINH THANH, NHA TRANG, P.Vĩnh Thạnh,Nha Trang,Khánh Hòa</t>
  </si>
  <si>
    <t>Đỗ Thị Thu Hằng</t>
  </si>
  <si>
    <t>nhà thuốc Thanh Minh</t>
  </si>
  <si>
    <t>00973378880</t>
  </si>
  <si>
    <t>phạm Thị Sắc</t>
  </si>
  <si>
    <t>nt ds le thi trà giang</t>
  </si>
  <si>
    <t>0335720009</t>
  </si>
  <si>
    <t>626 Minh Khai, P.Vĩnh Tuy,Hai Bà Trưng,Hà Nội</t>
  </si>
  <si>
    <t>Phạm Huỳnh Phương Thảo</t>
  </si>
  <si>
    <t>NT Tâm Phúc</t>
  </si>
  <si>
    <t>0941600819</t>
  </si>
  <si>
    <t>152-154 đường B21, Khu dân cư 91B, An Khánh, Ninh Kiều, thành phố Cần Thơ, P.An Khánh,Ninh Kiều,Cần Thơ</t>
  </si>
  <si>
    <t>nhà thuốc phương chính</t>
  </si>
  <si>
    <t>0918969893</t>
  </si>
  <si>
    <t>169 Mai Hắc Đế, P.Lê Đại Hành,Hai Bà Trưng,Hà Nội</t>
  </si>
  <si>
    <t>Nguyễn thị Mai</t>
  </si>
  <si>
    <t>nhà thuốc phong thu</t>
  </si>
  <si>
    <t>0795095678</t>
  </si>
  <si>
    <t>253 phùng hưng, P.Phú La,Hà Đông,Hà Nội</t>
  </si>
  <si>
    <t>LỤC THỊ MAI</t>
  </si>
  <si>
    <t>nha thuoc do thi thanh thuy</t>
  </si>
  <si>
    <t>0978588243</t>
  </si>
  <si>
    <t>23 mai dịch, P.Mai Dịch,Cầu Giấy,Hà Nội</t>
  </si>
  <si>
    <t>le thanh tam</t>
  </si>
  <si>
    <t xml:space="preserve">NT THIEN PHUOC </t>
  </si>
  <si>
    <t>0913111705</t>
  </si>
  <si>
    <t>187 VO THANH TRANG, P.02,Tân Bình,Hồ Chí Minh</t>
  </si>
  <si>
    <t>Lăng thị kim dung</t>
  </si>
  <si>
    <t>nhà thuốc trường giang</t>
  </si>
  <si>
    <t>0333433903</t>
  </si>
  <si>
    <t>23 phố Minh Lang, P.Tiên Cát,Việt Trì,Phú Thọ</t>
  </si>
  <si>
    <t>Mai thuý hằng</t>
  </si>
  <si>
    <t>thành huyền</t>
  </si>
  <si>
    <t>0977166995</t>
  </si>
  <si>
    <t>44 tuệ tĩnh, P.Hưng Dũng,Vinh,Nghệ An</t>
  </si>
  <si>
    <t>Trần Ngọc Châu</t>
  </si>
  <si>
    <t>NHA THUOC CAM TU</t>
  </si>
  <si>
    <t>0903105155</t>
  </si>
  <si>
    <t>19 HO BA KIEN, PHUONG 15, P.15,Quận 10,Hồ Chí Minh</t>
  </si>
  <si>
    <t>Nguyễn thị nga</t>
  </si>
  <si>
    <t>0904209065</t>
  </si>
  <si>
    <t>148 nguyễn xiển, P.Thanh Xuân Bắc,Thanh Xuân,Hà Nội</t>
  </si>
  <si>
    <t>Đinh Thị Thu Thuỷ</t>
  </si>
  <si>
    <t>NHA THUOC THU THUY</t>
  </si>
  <si>
    <t>0902029096</t>
  </si>
  <si>
    <t>317A TO 10- NGUYEN VAN LINH- P. AN KHANH, P.An Khánh,Ninh Kiều,Cần Thơ</t>
  </si>
  <si>
    <t xml:space="preserve">Duong nu tuòng vy </t>
  </si>
  <si>
    <t xml:space="preserve">nha thuoc phu tho </t>
  </si>
  <si>
    <t>0906726308</t>
  </si>
  <si>
    <t>98/12c vo thi sau , P.Quyết Thắng,Biên Hòa,Đồng Nai</t>
  </si>
  <si>
    <t>Phạm thu hà</t>
  </si>
  <si>
    <t>nhà thuốc 34</t>
  </si>
  <si>
    <t>0987710394</t>
  </si>
  <si>
    <t>Số 34 phố dương quảng hàm, P.Quan Hoa,Cầu Giấy,Hà Nội</t>
  </si>
  <si>
    <t>Lâm Thị Thúy Loan</t>
  </si>
  <si>
    <t>Nha thuoc Minh Thi 2</t>
  </si>
  <si>
    <t>0945707337</t>
  </si>
  <si>
    <t>27 Nguyễn Hiền, P.An Khánh,Ninh Kiều,Cần Thơ</t>
  </si>
  <si>
    <t>Đinh thị quỳnh</t>
  </si>
  <si>
    <t>nhà thuốc anh tuấn</t>
  </si>
  <si>
    <t>0376121943</t>
  </si>
  <si>
    <t>Nguyễn Thị Kiêm</t>
  </si>
  <si>
    <t>nha thuoc so 7</t>
  </si>
  <si>
    <t>0907281808</t>
  </si>
  <si>
    <t>50, P.Bến Nghé,Quận 1,Hồ Chí Minh</t>
  </si>
  <si>
    <t>Linh</t>
  </si>
  <si>
    <t>NT Bích Hà</t>
  </si>
  <si>
    <t>0962527542</t>
  </si>
  <si>
    <t>137 Trần Đình Xu, P Nguyễn Cư Trinh, P.Đống Mác,Hai Bà Trưng,Hà Nội</t>
  </si>
  <si>
    <t>Vũ Thu Trang</t>
  </si>
  <si>
    <t>0397266640</t>
  </si>
  <si>
    <t>105/168 , P.Ngọc Khánh,Ba Đình,Hà Nội</t>
  </si>
  <si>
    <t>Nguyễn Thị Liệu</t>
  </si>
  <si>
    <t>Global Tiệp Tươi</t>
  </si>
  <si>
    <t>0965983541</t>
  </si>
  <si>
    <t>15b1, P.Thành Công,Ba Đình,Hà Nội</t>
  </si>
  <si>
    <t>Nguyen Quoc Phong</t>
  </si>
  <si>
    <t>qt so 26</t>
  </si>
  <si>
    <t>0943035757</t>
  </si>
  <si>
    <t>208 ymoan, P.Tân Lợi,Buôn Ma Thuột,Đắk Lắk</t>
  </si>
  <si>
    <t>Nguyễn Thị Thúy Liễu</t>
  </si>
  <si>
    <t>NT Trung Hậu</t>
  </si>
  <si>
    <t>0984333394</t>
  </si>
  <si>
    <t>807, Hà Hoàng Hổ, P.Đông Xuyên,Long Xuyên,An Giang</t>
  </si>
  <si>
    <t>Nguyễn thị hằng</t>
  </si>
  <si>
    <t>nhà thuốc phương trang</t>
  </si>
  <si>
    <t>02623812452</t>
  </si>
  <si>
    <t>01 lý thường kiệt, P.Tân Tiến,Buôn Ma Thuột,Đắk Lắk</t>
  </si>
  <si>
    <t>Nguyen thi thu hằng</t>
  </si>
  <si>
    <t>nt thu hằng</t>
  </si>
  <si>
    <t>0855005599</t>
  </si>
  <si>
    <t>Thành thái, P.Bình Khánh,Long Xuyên,An Giang</t>
  </si>
  <si>
    <t>Nguyễn thị hương</t>
  </si>
  <si>
    <t>nhà thuốc 09 khánh hương</t>
  </si>
  <si>
    <t>0904712968</t>
  </si>
  <si>
    <t>144 phùng hưng, P.Phú La,Hà Đông,Hà Nội</t>
  </si>
  <si>
    <t>nguyen thi hang nga</t>
  </si>
  <si>
    <t>qt phu lam</t>
  </si>
  <si>
    <t>0911276628</t>
  </si>
  <si>
    <t>319 ha huy tap, P.Tân Lợi,Buôn Ma Thuột,Đắk Lắk</t>
  </si>
  <si>
    <t>Nguyen ngoc thanh van</t>
  </si>
  <si>
    <t>nt ngoc van</t>
  </si>
  <si>
    <t>0914467890</t>
  </si>
  <si>
    <t>131 hoang dieu, P.Thống Nhất,Buôn Ma Thuột,Đắk Lắk</t>
  </si>
  <si>
    <t>Nguyễn thị Hà</t>
  </si>
  <si>
    <t>Nhà Thuốc Nguyễn Hà</t>
  </si>
  <si>
    <t>0962448837</t>
  </si>
  <si>
    <t>Tầng 1 số 116 tập thể Bệnh Viện  , P.Mai Dịch,Cầu Giấy,Hà Nội</t>
  </si>
  <si>
    <t>Nguyễn Ngọc Ánh</t>
  </si>
  <si>
    <t>Ngọc Ánh</t>
  </si>
  <si>
    <t>0847643906</t>
  </si>
  <si>
    <t>77 Hưng Đạo Vương, P.Quyết Thắng,Biên Hòa,Đồng Nai</t>
  </si>
  <si>
    <t>võ thị thanh tâm</t>
  </si>
  <si>
    <t>NT xóm mới 2</t>
  </si>
  <si>
    <t>0937914024</t>
  </si>
  <si>
    <t>1050 lê đức thọ , P.13,Gò Vấp,Hồ Chí Minh</t>
  </si>
  <si>
    <t>Nguyễn Thị Bích Phượng</t>
  </si>
  <si>
    <t>Quầy thuốc Bích Phượng</t>
  </si>
  <si>
    <t>0915559667</t>
  </si>
  <si>
    <t>110,Tổ 9,kp 8, P.Vĩnh An,Vĩnh Cửu,Đồng Nai</t>
  </si>
  <si>
    <t>TRAN THI NGOC LOAN</t>
  </si>
  <si>
    <t>nt phuong thành</t>
  </si>
  <si>
    <t>0399667376</t>
  </si>
  <si>
    <t>51, P.02,Quận 11,Hồ Chí Minh</t>
  </si>
  <si>
    <t>Nguyễn Thị Tuyết Mai</t>
  </si>
  <si>
    <t>Nhà Thuốc Song Mai</t>
  </si>
  <si>
    <t>0988191992</t>
  </si>
  <si>
    <t>520/14, Đông Hưng, Đông Xuyên, Tp. Long xuyên, An Giang, P.Đông Xuyên,Long Xuyên,An Giang</t>
  </si>
  <si>
    <t>hoang anh</t>
  </si>
  <si>
    <t xml:space="preserve">Nhà thuốc Xuân Hoà </t>
  </si>
  <si>
    <t>0973242363</t>
  </si>
  <si>
    <t>19 xóm bạch đằng , P.Vạn Phúc,Hà Đông,Hà Nội</t>
  </si>
  <si>
    <t xml:space="preserve">Trịnh Thị Thu Hà </t>
  </si>
  <si>
    <t>nhà thuốc Hà Anh</t>
  </si>
  <si>
    <t>0912075607</t>
  </si>
  <si>
    <t>76 Bát Sứ, P.Hàng Bồ,Hoàn Kiếm,Hà Nội</t>
  </si>
  <si>
    <t>ngô thu huyền</t>
  </si>
  <si>
    <t>nhà thuốc tuệ minh</t>
  </si>
  <si>
    <t>0932218006</t>
  </si>
  <si>
    <t>L1 goldsilkcomplex van phúc, P.Nguyễn Trãi,Hà Đông,Hà Nội</t>
  </si>
  <si>
    <t>Tô Thị Cúc</t>
  </si>
  <si>
    <t>nha thuoc minh chinh 5</t>
  </si>
  <si>
    <t>0904607465</t>
  </si>
  <si>
    <t>36, P.Vân Canh,Hoài Đức,Hà Nội</t>
  </si>
  <si>
    <t>đỗ thị hải yến</t>
  </si>
  <si>
    <t>nt 169 Hồng mai</t>
  </si>
  <si>
    <t>0985733759</t>
  </si>
  <si>
    <t>169 Hồng mai, P.Quỳnh Lôi,Hai Bà Trưng,Hà Nội</t>
  </si>
  <si>
    <t>trần duy hưng</t>
  </si>
  <si>
    <t>NT Hòa Bình</t>
  </si>
  <si>
    <t>0938748038</t>
  </si>
  <si>
    <t>104 y jut, P.Thắng Lợi,Buôn Ma Thuột,Đắk Lắk</t>
  </si>
  <si>
    <t>Nguyễn Thị Phượng</t>
  </si>
  <si>
    <t>Test</t>
  </si>
  <si>
    <t>0943969515</t>
  </si>
  <si>
    <t>19, P.Văn Miếu,Đống Đa,Hà Nội</t>
  </si>
  <si>
    <t>Thái Thanh Trúc</t>
  </si>
  <si>
    <t>NHA THUOC THANH THAO</t>
  </si>
  <si>
    <t>0939434998</t>
  </si>
  <si>
    <t>24/14 Trần Việt Châu, P.An Hòa,Ninh Kiều,Cần Thơ</t>
  </si>
  <si>
    <t>Trần Thị Mỹ Thủy</t>
  </si>
  <si>
    <t>Nhà thuốc Minh Tâm Thủy</t>
  </si>
  <si>
    <t>0915484687</t>
  </si>
  <si>
    <t>Phạm Văn Thuận, P.Tam Hiệp,Biên Hòa,Đồng Nai</t>
  </si>
  <si>
    <t xml:space="preserve">lý thi thúy </t>
  </si>
  <si>
    <t>quay thuoc 769</t>
  </si>
  <si>
    <t>0387758349</t>
  </si>
  <si>
    <t>tổ 6khu phố 1 phường long binh , P.Long Bình,Biên Hòa,Đồng Nai</t>
  </si>
  <si>
    <t>Nguyễn Thị Ngân</t>
  </si>
  <si>
    <t>Nhà Thuốc Phước Hải</t>
  </si>
  <si>
    <t>0907270670</t>
  </si>
  <si>
    <t>180 Nguyễn An Ninh, P.Tân An,Ninh Kiều,Cần Thơ</t>
  </si>
  <si>
    <t>Ngô Thị Lương</t>
  </si>
  <si>
    <t>Nhà thuốc lương phúc</t>
  </si>
  <si>
    <t>0983611521</t>
  </si>
  <si>
    <t>Số 11, ngõ 239 ( số 7/127) đường lạc long quân, P.Bưởi,Tây Hồ,Hà Nội</t>
  </si>
  <si>
    <t>0935668000</t>
  </si>
  <si>
    <t>Võ Thị Kim Xoan</t>
  </si>
  <si>
    <t>NT Thiên Kim</t>
  </si>
  <si>
    <t>0908525189</t>
  </si>
  <si>
    <t>Q12- đường Nguyễn Hữu Hào, P.06,Quận 4,Hồ Chí Minh</t>
  </si>
  <si>
    <t>Trần Văn Thực</t>
  </si>
  <si>
    <t>nhà thuốc tư nhân</t>
  </si>
  <si>
    <t>0912611187</t>
  </si>
  <si>
    <t>135 trần quốc hoàn, P.Dịch Vọng Hậu,Cầu Giấy,Hà Nội</t>
  </si>
  <si>
    <t>Hà Thị Hạnh</t>
  </si>
  <si>
    <t>abc</t>
  </si>
  <si>
    <t>0984504506</t>
  </si>
  <si>
    <t>12 Nguyễn Hiền, P.Văn Miếu,Đống Đa,Hà Nội</t>
  </si>
  <si>
    <t xml:space="preserve">Mai Thi Hong </t>
  </si>
  <si>
    <t>Nha Thuoc Hong Dao</t>
  </si>
  <si>
    <t>0349045003</t>
  </si>
  <si>
    <t>16 Đương sô 1 , P.Binh Hưng Hoà A,Bình Tân,Hồ Chí Minh</t>
  </si>
  <si>
    <t>Thanh Nhàn</t>
  </si>
  <si>
    <t>NHA THUOC NHAN TAM</t>
  </si>
  <si>
    <t>0354858646</t>
  </si>
  <si>
    <t>491 HUYNH TAN PHAT, PHUONG TAN THUAN DONG, P.Tân Thuận Đông,Quận 7,Hồ Chí Minh</t>
  </si>
  <si>
    <t>Phạm Thị Bích Trâm</t>
  </si>
  <si>
    <t>Nhà thuốc Khôi Vũ</t>
  </si>
  <si>
    <t>0933455511</t>
  </si>
  <si>
    <t>10/3B khu phố 11, P.Tân Hòa,Biên Hòa,Đồng Nai</t>
  </si>
  <si>
    <t>Lâm Thị Xuân Phương</t>
  </si>
  <si>
    <t>NHA THUOC MINH KHÁNH</t>
  </si>
  <si>
    <t>0917016518</t>
  </si>
  <si>
    <t>84 Lê Lợi, P.Cái Khế,Ninh Kiều,Cần Thơ</t>
  </si>
  <si>
    <t>Nguyen thi thu cat</t>
  </si>
  <si>
    <t>qt so 3</t>
  </si>
  <si>
    <t>0986271937</t>
  </si>
  <si>
    <t>90 ly thuong kiet, P.Thắng Lợi,Buôn Ma Thuột,Đắk Lắk</t>
  </si>
  <si>
    <t>phạm thị út hiền</t>
  </si>
  <si>
    <t>quầy thuôc út hiền</t>
  </si>
  <si>
    <t>0916542253</t>
  </si>
  <si>
    <t>23 hòn nghê, P.Vĩnh Ngọc,Nha Trang,Khánh Hòa</t>
  </si>
  <si>
    <t>Lê Thị Lệ Hoa</t>
  </si>
  <si>
    <t xml:space="preserve">Nhà Thuốc Đức Tuấn </t>
  </si>
  <si>
    <t>0933455433</t>
  </si>
  <si>
    <t>92 Thành Thái , P.12,Quận 10,Hồ Chí Minh</t>
  </si>
  <si>
    <t>tho</t>
  </si>
  <si>
    <t>0903883366</t>
  </si>
  <si>
    <t>22, P.Cái Khế,Ninh Kiều,Cần Thơ</t>
  </si>
  <si>
    <t xml:space="preserve">huỳnh thị kim Thoại </t>
  </si>
  <si>
    <t xml:space="preserve">NT KIM CHÂU  23 HOÀNG  VAN THỤ </t>
  </si>
  <si>
    <t>0967654885</t>
  </si>
  <si>
    <t>23, P.04,Phú Nhuận,Hồ Chí Minh</t>
  </si>
  <si>
    <t>Đoàn Thúy May</t>
  </si>
  <si>
    <t>Tuệ May</t>
  </si>
  <si>
    <t>0918585915</t>
  </si>
  <si>
    <t>số 3, Nguyễn thành Đồng, P.Trảng Dài,Biên Hòa,Đồng Nai</t>
  </si>
  <si>
    <t>Dang Nu Tuyet Nhung</t>
  </si>
  <si>
    <t>qt thai hoa</t>
  </si>
  <si>
    <t>0905798397</t>
  </si>
  <si>
    <t>319 ymoan, P.Tân Lập,Buôn Ma Thuột,Đắk Lắk</t>
  </si>
  <si>
    <t>hồ hoàng liên</t>
  </si>
  <si>
    <t>quầy thuốc hà linh 1</t>
  </si>
  <si>
    <t>0909346986</t>
  </si>
  <si>
    <t>tổ 2 thôn phú trung, P.Vĩnh Thạnh,Nha Trang,Khánh Hòa</t>
  </si>
  <si>
    <t>Tòng thanh Hoà</t>
  </si>
  <si>
    <t>nhà thuốc Linh Anh</t>
  </si>
  <si>
    <t>0865981065</t>
  </si>
  <si>
    <t>104 Bạch Mai, P.Cầu Dền,Hai Bà Trưng,Hà Nội</t>
  </si>
  <si>
    <t>Đỗ Ngọc Long</t>
  </si>
  <si>
    <t>0978650481</t>
  </si>
  <si>
    <t>Nguyễn Thị Tiệp</t>
  </si>
  <si>
    <t>Nhà thuốc Global Tiệp Tươi</t>
  </si>
  <si>
    <t>0989868281</t>
  </si>
  <si>
    <t>nguyễn văn quang</t>
  </si>
  <si>
    <t>nhà thuốc số 1 ngân hà</t>
  </si>
  <si>
    <t>0904010682</t>
  </si>
  <si>
    <t>212 phùng hưng, P.Phúc La,Hà Đông,Hà Nội</t>
  </si>
  <si>
    <t>duong minh kha</t>
  </si>
  <si>
    <t>nha thuoc hoang gia</t>
  </si>
  <si>
    <t>0909759344</t>
  </si>
  <si>
    <t>118a hoang hoa tham, P.07,Bình Thạnh,Hồ Chí Minh</t>
  </si>
  <si>
    <t>Nguyễn thị Hường</t>
  </si>
  <si>
    <t>nhà thuốc sota</t>
  </si>
  <si>
    <t>0375318796</t>
  </si>
  <si>
    <t>số 3 phố hoa bằng,phường yên hòa, P.Yên Hoà,Cầu Giấy,Hà Nội</t>
  </si>
  <si>
    <t>Đỗ Thu Hằng</t>
  </si>
  <si>
    <t>0973118980</t>
  </si>
  <si>
    <t>nguyễn thị linh</t>
  </si>
  <si>
    <t>NT Quốc anh</t>
  </si>
  <si>
    <t>0932225169</t>
  </si>
  <si>
    <t>120 vũ trọng phụng, P.Hạ Đình,Thanh Xuân,Hà Nội</t>
  </si>
  <si>
    <t>Nguyễn thị lý</t>
  </si>
  <si>
    <t>nhà thuốc Tâm An</t>
  </si>
  <si>
    <t>0988838375</t>
  </si>
  <si>
    <t>Tang 1,so 145 tran dang ninh, P.Dịch Vọng,Cầu Giấy,Hà Nội</t>
  </si>
  <si>
    <t>Duong thi Minh Tram</t>
  </si>
  <si>
    <t>Phuong Loan</t>
  </si>
  <si>
    <t>0937437748</t>
  </si>
  <si>
    <t>247 cmt 8, P.Hòa Bình,Biên Hòa,Đồng Nai</t>
  </si>
  <si>
    <t>Phan Thị Ngọc Trinh</t>
  </si>
  <si>
    <t>Nhà thuốc Thiên Kim</t>
  </si>
  <si>
    <t>0939461806</t>
  </si>
  <si>
    <t>21C Nguyễn Văn Linh, P.Hưng Lợi,Ninh Kiều,Cần Thơ</t>
  </si>
  <si>
    <t>Nguyễn Thị Bích Ngọc</t>
  </si>
  <si>
    <t>Nhà thuốc Tân Thanh Bình</t>
  </si>
  <si>
    <t>0978346096</t>
  </si>
  <si>
    <t>54 Quán sứ, P.Hàng Bông,Hoàn Kiếm,Hà Nội</t>
  </si>
  <si>
    <t xml:space="preserve">Trần Ngọc thanh lan </t>
  </si>
  <si>
    <t>quay thuốc 1071</t>
  </si>
  <si>
    <t>0948015846</t>
  </si>
  <si>
    <t>325/A2 nguyen tri phương , P.Hiệp Hòa,Biên Hòa,Đồng Nai</t>
  </si>
  <si>
    <t>Đỗ Thị Hòa</t>
  </si>
  <si>
    <t>NT HOANG HAN</t>
  </si>
  <si>
    <t>0969633703</t>
  </si>
  <si>
    <t>92 VUON CHUOI, P.4, P.04,Quận 3,Hồ Chí Minh</t>
  </si>
  <si>
    <t>MinhIT</t>
  </si>
  <si>
    <t>Nha Thuoc Long Chau</t>
  </si>
  <si>
    <t>0398267083</t>
  </si>
  <si>
    <t>23/44 Au Co, P.05,Bình Thạnh,Hồ Chí Minh</t>
  </si>
  <si>
    <t>Lê Tự Chế</t>
  </si>
  <si>
    <t>Nt  Trí Thiện 2</t>
  </si>
  <si>
    <t>0903330673</t>
  </si>
  <si>
    <t>79/22 Pham Viet Chanh, P.19,Bình Thạnh,Hồ Chí Minh</t>
  </si>
  <si>
    <t>Đặng Võ Bạch Đào</t>
  </si>
  <si>
    <t>nhà thuốc Bạch Đào</t>
  </si>
  <si>
    <t>0834600462</t>
  </si>
  <si>
    <t>tổ 5, kp 5, P.Long Bình,Biên Hòa,Đồng Nai</t>
  </si>
  <si>
    <t>Nguyen Thi Hong</t>
  </si>
  <si>
    <t>NT Ngân Châu</t>
  </si>
  <si>
    <t>098959059</t>
  </si>
  <si>
    <t>105 Duong 17, P.Tân Quy,Quận 7,Hồ Chí Minh</t>
  </si>
  <si>
    <t>Nguyen Thi Bao Quynh</t>
  </si>
  <si>
    <t>NT BAO QUYNH</t>
  </si>
  <si>
    <t>0936226602</t>
  </si>
  <si>
    <t>160 CMT8, P.10,Quận 3,Hồ Chí Minh</t>
  </si>
  <si>
    <t>nguyễn đặng bảo trân</t>
  </si>
  <si>
    <t>NHA THUOC CONG THANG</t>
  </si>
  <si>
    <t>02923821339</t>
  </si>
  <si>
    <t>2 DUONG 18- KHU NCDT- KHU VUC 4- P. AN KHANH, P.An Khánh,Ninh Kiều,Cần Thơ</t>
  </si>
  <si>
    <t>lê hà phượng</t>
  </si>
  <si>
    <t>nhà thuốc hoàng phúc</t>
  </si>
  <si>
    <t>0903590308</t>
  </si>
  <si>
    <t>79 trần nhật duật, P.Phước Hòa,Nha Trang,Khánh Hòa</t>
  </si>
  <si>
    <t>Trần Thị Lệ Thuỷ</t>
  </si>
  <si>
    <t>NT Thuỷ Anh</t>
  </si>
  <si>
    <t>0906779084</t>
  </si>
  <si>
    <t>382 Nguyễn Văn Nghi, P.07,Gò Vấp,Hồ Chí Minh</t>
  </si>
  <si>
    <t>Bùi Thị Diệu Quê</t>
  </si>
  <si>
    <t>CONG TY CO PHAN TRUSTPHARM_NHA THUOC MINH ANH</t>
  </si>
  <si>
    <t>0986417770</t>
  </si>
  <si>
    <t>54/1 Hùng Vương, P.Thới Bình,Ninh Kiều,Cần Thơ</t>
  </si>
  <si>
    <t>Nguyễn Thanh Danh</t>
  </si>
  <si>
    <t>nha thuoc a</t>
  </si>
  <si>
    <t>0978512759</t>
  </si>
  <si>
    <t>duong a, P.Quán Toan, Hồng Bàng, Hải Phòng</t>
  </si>
  <si>
    <t>Võ Thị Kim Hồng</t>
  </si>
  <si>
    <t>Nhà thuốc Hồng Kim</t>
  </si>
  <si>
    <t>0902645841</t>
  </si>
  <si>
    <t>86 Lê Hồng Phong, P.Trà Nóc,Bình Thuỷ,Cần Thơ</t>
  </si>
  <si>
    <t>Nguyễn thị hoà</t>
  </si>
  <si>
    <t xml:space="preserve">nhà thuốc minh hoà </t>
  </si>
  <si>
    <t>0987631684</t>
  </si>
  <si>
    <t>72 thanh bình, P.Mộ Lao,Hà Đông,Hà Nội</t>
  </si>
  <si>
    <t>Nguyễn Thị Trang</t>
  </si>
  <si>
    <t>nha thuoc anh đạt 1</t>
  </si>
  <si>
    <t>0845126333</t>
  </si>
  <si>
    <t>158/34 Vĩnh Tuy, P.Vĩnh Tuy,Hai Bà Trưng,Hà Nội</t>
  </si>
  <si>
    <t>Đặng thu Lan</t>
  </si>
  <si>
    <t>nhà thuốc thu lan</t>
  </si>
  <si>
    <t>0974591500</t>
  </si>
  <si>
    <t>212 trần quý cáp, P.Ninh Hòa,Ninh Hòa,Khánh Hòa</t>
  </si>
  <si>
    <t>C Hà</t>
  </si>
  <si>
    <t>nhà thuốc Thái Hà</t>
  </si>
  <si>
    <t>0969543442</t>
  </si>
  <si>
    <t>82 lo đúc, P.Ngô Thì Nhậm,Hai Bà Trưng,Hà Nội</t>
  </si>
  <si>
    <t>THÂN THỊ ANH ĐÀO</t>
  </si>
  <si>
    <t>Nhà Thuốc Mai Uyên</t>
  </si>
  <si>
    <t>0988416744</t>
  </si>
  <si>
    <t>122 Lê Đức Thọ, P. 6,Gò Vấp,Hồ Chí Minh</t>
  </si>
  <si>
    <t>lê hồng thuật</t>
  </si>
  <si>
    <t>qt 06</t>
  </si>
  <si>
    <t>0914056363</t>
  </si>
  <si>
    <t>199 y moan, P.Tân Lợi,Buôn Ma Thuột,Đắk Lắk</t>
  </si>
  <si>
    <t>NGUYEN HONG LUYEN</t>
  </si>
  <si>
    <t>NT NGOC HAN</t>
  </si>
  <si>
    <t>0919980608</t>
  </si>
  <si>
    <t>68 cau giay, P.Quan Hoa,Cầu Giấy,Hà Nội</t>
  </si>
  <si>
    <t xml:space="preserve">Tran minh Tung </t>
  </si>
  <si>
    <t>Quay Thuoc 278</t>
  </si>
  <si>
    <t>0329896636</t>
  </si>
  <si>
    <t>17 ,ap 3 xa Tam An , P.Long Thành,Long Thành,Đồng Nai</t>
  </si>
  <si>
    <t>Đinh thị tuyết</t>
  </si>
  <si>
    <t>nhà thuốc 60 hoàng văn thái</t>
  </si>
  <si>
    <t>0986675997</t>
  </si>
  <si>
    <t>60 hoàng văn thái, P.Khương Đình,Thanh Xuân,Hà Nội</t>
  </si>
  <si>
    <t>Thủy</t>
  </si>
  <si>
    <t>0906726414</t>
  </si>
  <si>
    <t>24 D52, P.12,Tân Bình,Hồ Chí Minh</t>
  </si>
  <si>
    <t>Lê Thị Lê Thu</t>
  </si>
  <si>
    <t>NT Hai Binh</t>
  </si>
  <si>
    <t>0961638062</t>
  </si>
  <si>
    <t>18 lo A chung cu 43, P.09,Phú Nhuận,Hồ Chí Minh</t>
  </si>
  <si>
    <t>quynh</t>
  </si>
  <si>
    <t xml:space="preserve">nhà thuốc đức hồng 2 </t>
  </si>
  <si>
    <t>0333318597</t>
  </si>
  <si>
    <t>9 liền kề 6A mỗ lao, P.Nguyễn Trãi,Hà Đông,Hà Nội</t>
  </si>
  <si>
    <t>Nguyễn Thị Vân Lan</t>
  </si>
  <si>
    <t>Tâm Lan</t>
  </si>
  <si>
    <t>0903164060</t>
  </si>
  <si>
    <t>03 Đào Duy Anh, P.09,Phú Nhuận,Hồ Chí Minh</t>
  </si>
  <si>
    <t>Nguyen ngoc phuong Oanh</t>
  </si>
  <si>
    <t>NT BINH MINH</t>
  </si>
  <si>
    <t>0905414131</t>
  </si>
  <si>
    <t>133 dien bien phu, P.Thống Nhất,Buôn Ma Thuột,Đắk Lắk</t>
  </si>
  <si>
    <t xml:space="preserve">Phan Thanh Thuy Tiên </t>
  </si>
  <si>
    <t>nha thuoc Tôt</t>
  </si>
  <si>
    <t>0908561888</t>
  </si>
  <si>
    <t>39 Nguyên Huy Tu , P.Tân Định,Quận 1,Hồ Chí Minh</t>
  </si>
  <si>
    <t>Nguyễn Thị kim sa</t>
  </si>
  <si>
    <t>hieu thuoc số 5</t>
  </si>
  <si>
    <t>0903654399</t>
  </si>
  <si>
    <t>51F nguyễn du, P.Bến Nghé,Quận 1,Hồ Chí Minh</t>
  </si>
  <si>
    <t>Mai Thị Hồng</t>
  </si>
  <si>
    <t>NT Hồng đào</t>
  </si>
  <si>
    <t>0973564949</t>
  </si>
  <si>
    <t>171 Bình Phú - P.11, P.14,Quận 6,Hồ Chí Minh</t>
  </si>
  <si>
    <t>PHAN THỊ THU ĐÔNG</t>
  </si>
  <si>
    <t>nt BẢO CHÂU</t>
  </si>
  <si>
    <t>0379451595</t>
  </si>
  <si>
    <t>Bà Hạt 436, P.08,Quận 10,Hồ Chí Minh</t>
  </si>
  <si>
    <t>truong hai</t>
  </si>
  <si>
    <t>hai</t>
  </si>
  <si>
    <t>0917715114</t>
  </si>
  <si>
    <t>02, P.Mỹ Bình,Long Xuyên,An Giang</t>
  </si>
  <si>
    <t>Nguyễn Thị Quỳnh</t>
  </si>
  <si>
    <t>Nhà thuốc tư nhân  Nguyễn Thị Vũ Thành</t>
  </si>
  <si>
    <t>0974641909</t>
  </si>
  <si>
    <t>106h4, P.Thành Công,Ba Đình,Hà Nội</t>
  </si>
  <si>
    <t>Nguyễn Thị Mỹ Diệu</t>
  </si>
  <si>
    <t>NT Phúc Nguyên</t>
  </si>
  <si>
    <t>0908500860</t>
  </si>
  <si>
    <t>1G Văn Cao, P.Tây Thạnh,Tân Phú,Hồ Chí Minh</t>
  </si>
  <si>
    <t>Nguyễn thị mỹ dung</t>
  </si>
  <si>
    <t>Nhà thuốc trường minh</t>
  </si>
  <si>
    <t>0943754107</t>
  </si>
  <si>
    <t>291 lê văn sỹ tân bình, P.02, Tân Bình, Hồ Chí Minh</t>
  </si>
  <si>
    <t>Trần Thị Liên Châu</t>
  </si>
  <si>
    <t>2000 Liên Châu</t>
  </si>
  <si>
    <t>0779719086</t>
  </si>
  <si>
    <t>Phạm Văn Thuận/90/1 khu phố 3, P.Tam Hiệp,Biên Hòa,Đồng Nai</t>
  </si>
  <si>
    <t>Nguyễn Thị Lan Hương</t>
  </si>
  <si>
    <t>Hiếu Hiền</t>
  </si>
  <si>
    <t>0932282066</t>
  </si>
  <si>
    <t>57 tân ấp, P.Phúc Xá,Ba Đình,Hà Nội</t>
  </si>
  <si>
    <t>Huynh thi thanh nguyen</t>
  </si>
  <si>
    <t>QUAY THUOC SO 1</t>
  </si>
  <si>
    <t>0949325551</t>
  </si>
  <si>
    <t>K3/242D Bui Huu Nghia BH-ĐN, P.Bửu Hòa,Biên Hòa,Đồng Nai</t>
  </si>
  <si>
    <t>Mai Huy Hiệu</t>
  </si>
  <si>
    <t>Nhà thuốc nghĩa hưng</t>
  </si>
  <si>
    <t>0838447748</t>
  </si>
  <si>
    <t>484 bạch mai, P.Trương Định,Hai Bà Trưng,Hà Nội</t>
  </si>
  <si>
    <t>Ngô Thị Ngọc Tâm</t>
  </si>
  <si>
    <t>NHÀ THUỐC VÂN ANH</t>
  </si>
  <si>
    <t>0937235453</t>
  </si>
  <si>
    <t>230 Đường Hồ Văn Tắng, Ấp Phú Lợi, Xã Tân Phú Trung, Củ Chi, P.Tân Phú Trung,Củ Chi,Hồ Chí Minh</t>
  </si>
  <si>
    <t>nguyen thi thu thao</t>
  </si>
  <si>
    <t>nt thanh nhan</t>
  </si>
  <si>
    <t>0989161768</t>
  </si>
  <si>
    <t>148 nguyen thi minh khai, P.Tân Lợi,Buôn Ma Thuột,Đắk Lắk</t>
  </si>
  <si>
    <t xml:space="preserve">Đoàn Thị Bé </t>
  </si>
  <si>
    <t>Nhà Thuốc Thư Phát</t>
  </si>
  <si>
    <t>0366813637</t>
  </si>
  <si>
    <t>191 Huỳnh Văn Nghệ ,kp2 , phường bửu long , tp biên hòa , đồng nai, P.Bửu Long,Biên Hòa,Đồng Nai</t>
  </si>
  <si>
    <t>Nguyễn thị vân anh</t>
  </si>
  <si>
    <t>nhà thuốc thanh thuy</t>
  </si>
  <si>
    <t>0986506734</t>
  </si>
  <si>
    <t>Nhà số 28,A20,khu tập thể nghĩa tân, P.Nghĩa Tân,Cầu Giấy,Hà Nội</t>
  </si>
  <si>
    <t>65645</t>
  </si>
  <si>
    <t>Qt gia Tuệ</t>
  </si>
  <si>
    <t>00905197747</t>
  </si>
  <si>
    <t>Dường A1, P.Vĩnh Hiệp,Nha Trang,Khánh Hòa</t>
  </si>
  <si>
    <t>pham thi Bền</t>
  </si>
  <si>
    <t>minh phung</t>
  </si>
  <si>
    <t>0352028046</t>
  </si>
  <si>
    <t>180 minh phung , P.06,Quận 6,Hồ Chí Minh</t>
  </si>
  <si>
    <t>Diệp thị lý</t>
  </si>
  <si>
    <t>quay thuoc 1730 bình minh</t>
  </si>
  <si>
    <t>0937451684</t>
  </si>
  <si>
    <t>247 to 5 khu phước hải, P.Long Thành,Long Thành,Đồng Nai</t>
  </si>
  <si>
    <t>Vũ Thị Phượng</t>
  </si>
  <si>
    <t>Nhà Thuốc Phú Thịnh</t>
  </si>
  <si>
    <t>0773789219</t>
  </si>
  <si>
    <t>246 Dương Quảng Hàm, phường 5, quận Gò Vấp, P.05,Gò Vấp,Hồ Chí Minh</t>
  </si>
  <si>
    <t>huynh thi cam loan</t>
  </si>
  <si>
    <t>Nha Thuoc Hai Binh</t>
  </si>
  <si>
    <t>0934087637</t>
  </si>
  <si>
    <t>257B Nguyen Bieu- P. 2, P.02,Quận 5,Hồ Chí Minh</t>
  </si>
  <si>
    <t>nt hong dao</t>
  </si>
  <si>
    <t>0973564948</t>
  </si>
  <si>
    <t>276 bắc hải, P.02,Tân Bình,Hồ Chí Minh</t>
  </si>
  <si>
    <t>Nguyễn Thành Được</t>
  </si>
  <si>
    <t>QT Thành Đạt</t>
  </si>
  <si>
    <t>0916797589</t>
  </si>
  <si>
    <t>275 Ấp Bắc, Tân Thạnh, P.Thanh Bình,Thanh Bình,Đồng Tháp</t>
  </si>
  <si>
    <t>Phan Thị Xuân Lý</t>
  </si>
  <si>
    <t>NT Minh Huyền</t>
  </si>
  <si>
    <t>0965678324</t>
  </si>
  <si>
    <t>27 Thuận Kiều, P.12,Quận 5,Hồ Chí Minh</t>
  </si>
  <si>
    <t>Phạm Thị Bích Thảo</t>
  </si>
  <si>
    <t>NHA THUOC GIA KHANG</t>
  </si>
  <si>
    <t>0949947848</t>
  </si>
  <si>
    <t>77A Thống Nhất, P.11,Gò Vấp,Hồ Chí Minh</t>
  </si>
  <si>
    <t>Lại Quốc Trị</t>
  </si>
  <si>
    <t>Nha thuoc Quoc Tri</t>
  </si>
  <si>
    <t>0907592348</t>
  </si>
  <si>
    <t>186 phan van khoe, P.05,Quận 6,Hồ Chí Minh</t>
  </si>
  <si>
    <t>Hoàng Thị Thanh Hường</t>
  </si>
  <si>
    <t>nt 42 ds le thi minh chinh</t>
  </si>
  <si>
    <t>0982710780</t>
  </si>
  <si>
    <t>42, P.Hàng Mã,Hoàn Kiếm,Hà Nội</t>
  </si>
  <si>
    <t>Nha thuoc Cong Tam</t>
  </si>
  <si>
    <t>0907950909</t>
  </si>
  <si>
    <t>43 le niem , p. Phú Thạnh, Q. Tân Phú , P.Phú Thạnh,Tân Phú,Hồ Chí Minh</t>
  </si>
  <si>
    <t>Trương Đức Vọng</t>
  </si>
  <si>
    <t>NT Huyen Si</t>
  </si>
  <si>
    <t>0903904449</t>
  </si>
  <si>
    <t>149 Nguyen Trai, P.Bến Thành,Quận 1,Hồ Chí Minh</t>
  </si>
  <si>
    <t>Trương Vĩnh Thạnh</t>
  </si>
  <si>
    <t>NT Thanh Tuyền 2</t>
  </si>
  <si>
    <t>0326989199</t>
  </si>
  <si>
    <t>705 Nguyễn Văn Quá, P.Đông Hưng Thuận,Quận 12,Hồ Chí Minh</t>
  </si>
  <si>
    <t>Trần Thị Thanh Vân</t>
  </si>
  <si>
    <t>NT BAO TRAN</t>
  </si>
  <si>
    <t>0908200650</t>
  </si>
  <si>
    <t>22 THICH QUANG DUC, P.05,Phú Nhuận,Hồ Chí Minh</t>
  </si>
  <si>
    <t>Nguyễn văn kha</t>
  </si>
  <si>
    <t>NT Việt Hưng</t>
  </si>
  <si>
    <t>0979751919</t>
  </si>
  <si>
    <t>88/155 truong chinh, P.Phương Liệt,Thanh Xuân,Hà Nội</t>
  </si>
  <si>
    <t>Hồ Thị Thu Mộng</t>
  </si>
  <si>
    <t>nhà thuốc phước thiện 3</t>
  </si>
  <si>
    <t>0396762618</t>
  </si>
  <si>
    <t>170 ông ích khiêm, P.Thạch Thang,Hải Châu,Đà Nẵng</t>
  </si>
  <si>
    <t xml:space="preserve">đặng văn tuấn </t>
  </si>
  <si>
    <t>đặng văn tuấn</t>
  </si>
  <si>
    <t>0912156169</t>
  </si>
  <si>
    <t>chợ gạch, P.Phúc Thọ,Phúc Thọ,Hà Nội</t>
  </si>
  <si>
    <t>Trần Thị Ký</t>
  </si>
  <si>
    <t>nt 42 ds lê thị minh chính</t>
  </si>
  <si>
    <t>0943959417</t>
  </si>
  <si>
    <t>NGUYEN DUC PHONG</t>
  </si>
  <si>
    <t xml:space="preserve">Nha thuoc Trung Tam </t>
  </si>
  <si>
    <t>0334089092</t>
  </si>
  <si>
    <t>103 thanh thai., P.14,Quận 10,Hồ Chí Minh</t>
  </si>
  <si>
    <t>Trương Thị Nga</t>
  </si>
  <si>
    <t>nt Nga</t>
  </si>
  <si>
    <t>0818024404</t>
  </si>
  <si>
    <t>520 Trương Định, P.Tân Mai,Hoàng Mai,Hà Nội</t>
  </si>
  <si>
    <t>Hồ Thị Phượng</t>
  </si>
  <si>
    <t>NT Ngọc Vân</t>
  </si>
  <si>
    <t>0906386965</t>
  </si>
  <si>
    <t>26 đường 339, P.Phước Long B,Quận 9,Hồ Chí Minh</t>
  </si>
  <si>
    <t>huỳnh thị hoa</t>
  </si>
  <si>
    <t>Nt hưng phát</t>
  </si>
  <si>
    <t>0398731385</t>
  </si>
  <si>
    <t>381a, P.Tân Chính,Thanh Khê,Đà Nẵng</t>
  </si>
  <si>
    <t>Sử thị lâm tuyền</t>
  </si>
  <si>
    <t>NHA THUOC HANH NHAN</t>
  </si>
  <si>
    <t>0989057146</t>
  </si>
  <si>
    <t>399 LY THAI TO, P.09,Quận 10,Hồ Chí Minh</t>
  </si>
  <si>
    <t>Phạm Thi Liên</t>
  </si>
  <si>
    <t>NT Liên Mai</t>
  </si>
  <si>
    <t>0945621111</t>
  </si>
  <si>
    <t>625 Hoàng Hoa Thám, P.Vĩnh Phúc,Ba Đình,Hà Nội</t>
  </si>
  <si>
    <t>Trần Thị Liên Hưng</t>
  </si>
  <si>
    <t>NT An Lộc</t>
  </si>
  <si>
    <t>0967685639</t>
  </si>
  <si>
    <t>550 Nguyễn Oanh - P.6, P.15,Gò Vấp,Hồ Chí Minh</t>
  </si>
  <si>
    <t>Vũ thị tuyết chinh</t>
  </si>
  <si>
    <t>nhà thuốc lê thị thu hương</t>
  </si>
  <si>
    <t>0965193889</t>
  </si>
  <si>
    <t>157 Cự Lộc, P.Thượng Đình,Thanh Xuân,Hà Nội</t>
  </si>
  <si>
    <t>Le thu cam huynh</t>
  </si>
  <si>
    <t>nha thuoc Tam Anh</t>
  </si>
  <si>
    <t>0908454870</t>
  </si>
  <si>
    <t>20 no trang long, phuong 14, binh thanh, P.14,Bình Thạnh,Hồ Chí Minh</t>
  </si>
  <si>
    <t>Trần Trọng Hải Hậu</t>
  </si>
  <si>
    <t>nhất lan</t>
  </si>
  <si>
    <t>0908460648</t>
  </si>
  <si>
    <t>1161 Quốc Lộ 1A, P.Tân Tạo,Bình Tân,Hồ Chí Minh</t>
  </si>
  <si>
    <t>Nguyễn Thái Huy</t>
  </si>
  <si>
    <t>NT HUONG GIANG</t>
  </si>
  <si>
    <t>0986832621</t>
  </si>
  <si>
    <t>175/75 NGUYEN THIEN THUAT, P.01,Quận 3,Hồ Chí Minh</t>
  </si>
  <si>
    <t>Updated data</t>
  </si>
  <si>
    <t>Kết quả</t>
  </si>
  <si>
    <t>Hoàn thành 1 bài</t>
  </si>
  <si>
    <t>Hoàn thành 2 bài</t>
  </si>
  <si>
    <t>Hoàn thành 3 bài</t>
  </si>
  <si>
    <t>Hoàn thành tất cả</t>
  </si>
  <si>
    <t>Không hoàn thành</t>
  </si>
  <si>
    <t>Tổng số</t>
  </si>
  <si>
    <t>A Tuấn</t>
  </si>
  <si>
    <t>A Thọ</t>
  </si>
  <si>
    <t>A Trí</t>
  </si>
  <si>
    <t>C. Quý</t>
  </si>
  <si>
    <t>comment</t>
  </si>
  <si>
    <t>0967140666</t>
  </si>
  <si>
    <t>0902213933</t>
  </si>
  <si>
    <t xml:space="preserve">Trần Thanh Thanh </t>
  </si>
  <si>
    <t>NHA THUOC PHUONG NHI</t>
  </si>
  <si>
    <t>0903452774</t>
  </si>
  <si>
    <t>43A PHAN XÍCH LONG, PHƯỜNG 2, QUẬN PHÚ NHUẬN, TP.HCM, P.02,Phú Nhuận,Hồ Chí Minh</t>
  </si>
  <si>
    <t>Nguyễn Thị Thẳng</t>
  </si>
  <si>
    <t>Nt anh tu</t>
  </si>
  <si>
    <t>0379175142</t>
  </si>
  <si>
    <t>299 phan xich long p1 Q PN, P.01,Phú Nhuận,Hồ Chí Minh</t>
  </si>
  <si>
    <t>Thuy Trieu</t>
  </si>
  <si>
    <t>Hoang Han</t>
  </si>
  <si>
    <t>01644047086</t>
  </si>
  <si>
    <t>Vườn Chuối, P.04, Quận 3, Hồ Chí Minh</t>
  </si>
  <si>
    <t>Vnlocation8099</t>
  </si>
  <si>
    <t>nt yen lac 19</t>
  </si>
  <si>
    <t>0942419868</t>
  </si>
  <si>
    <t>21 yen lac, P.Vĩnh Tuy,Hai Bà Trưng,Hà Nội</t>
  </si>
  <si>
    <t>done</t>
  </si>
  <si>
    <t>Phạm Toàn Quyền</t>
  </si>
  <si>
    <t xml:space="preserve">NHA THUOC THAO KHOA </t>
  </si>
  <si>
    <t>0932908301</t>
  </si>
  <si>
    <t>144 DUONG BA TRAC, P.2, P.02,Quận 8,Hồ Chí Minh</t>
  </si>
  <si>
    <t>Duong Thi Mui</t>
  </si>
  <si>
    <t>NT 412</t>
  </si>
  <si>
    <t>0985620123</t>
  </si>
  <si>
    <t>412 Le Lai, P.Đông Sơn,Thanh Hóa,Thanh Hóa</t>
  </si>
  <si>
    <t>Nguyễn Thị Hồng Thắm</t>
  </si>
  <si>
    <t xml:space="preserve">Nhà thuốc 101 </t>
  </si>
  <si>
    <t>0387733269</t>
  </si>
  <si>
    <t>54/15 Hai Bà Trưng Phú Cường, P.Phú Cường,Thủ Dầu Một,Bình Dương</t>
  </si>
  <si>
    <t>Le Thi Anh Thu</t>
  </si>
  <si>
    <t>Huu Son</t>
  </si>
  <si>
    <t>0914611488</t>
  </si>
  <si>
    <t>05 Binh Long, P.Binh Hưng Hoà A,Bình Tân,Hồ Chí Minh</t>
  </si>
  <si>
    <t>Nguyễn trung cương</t>
  </si>
  <si>
    <t>nha thuoc thanh nhu</t>
  </si>
  <si>
    <t>0786948532</t>
  </si>
  <si>
    <t>85 hoàng hoa thám, P.06,Bình Thạnh,Hồ Chí Minh</t>
  </si>
  <si>
    <t>15 Yên Lạc, Hà Nội</t>
  </si>
  <si>
    <t>70 Hồng Mai, Hà Nội</t>
  </si>
  <si>
    <t>Thanh Hoa</t>
  </si>
  <si>
    <t>Họ và Tên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</si>
</sst>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B1dd\-mmm\-yy"/>
  </numFmts>
  <fonts count="3" x14ac:knownFonts="1">
    <font>
      <sz val="11"/>
      <color theme="1"/>
      <name val="Arial"/>
      <family val="2"/>
      <scheme val="minor"/>
    </font>
    <font>
      <sz val="11"/>
      <color indexed="8"/>
      <name val="Arial"/>
      <family val="2"/>
      <scheme val="minor"/>
    </font>
    <font>
      <b/>
      <sz val="11"/>
      <color indexed="8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B050"/>
      </left>
      <right style="medium">
        <color rgb="FF00B050"/>
      </right>
      <top style="hair">
        <color rgb="FF00B050"/>
      </top>
      <bottom style="hair">
        <color rgb="FF00B050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2" fillId="0" borderId="0" xfId="1" applyFont="1"/>
    <xf numFmtId="0" fontId="1" fillId="0" borderId="0" xfId="1"/>
    <xf numFmtId="0" fontId="0" fillId="0" borderId="0" xfId="0" applyNumberFormat="1"/>
    <xf numFmtId="0" fontId="0" fillId="2" borderId="0" xfId="0" applyFill="1"/>
    <xf numFmtId="0" fontId="0" fillId="2" borderId="0" xfId="0" applyNumberFormat="1" applyFill="1"/>
    <xf numFmtId="0" fontId="1" fillId="2" borderId="0" xfId="1" applyFill="1"/>
    <xf numFmtId="164" fontId="1" fillId="2" borderId="0" xfId="1" applyNumberFormat="1" applyFill="1"/>
    <xf numFmtId="0" fontId="0" fillId="0" borderId="1" xfId="0" applyBorder="1"/>
    <xf numFmtId="0" fontId="1" fillId="0" borderId="1" xfId="1" applyBorder="1"/>
    <xf numFmtId="0" fontId="0" fillId="3" borderId="1" xfId="0" applyFill="1" applyBorder="1"/>
    <xf numFmtId="0" fontId="1" fillId="3" borderId="1" xfId="1" applyFill="1" applyBorder="1"/>
    <xf numFmtId="0" fontId="0" fillId="4" borderId="1" xfId="0" applyFill="1" applyBorder="1"/>
    <xf numFmtId="0" fontId="1" fillId="4" borderId="1" xfId="1" applyFill="1" applyBorder="1"/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" fillId="0" borderId="0" xfId="1" applyFill="1"/>
    <xf numFmtId="0" fontId="0" fillId="2" borderId="1" xfId="0" quotePrefix="1" applyFill="1" applyBorder="1"/>
    <xf numFmtId="0" fontId="1" fillId="2" borderId="1" xfId="1" applyFill="1" applyBorder="1"/>
    <xf numFmtId="0" fontId="1" fillId="0" borderId="2" xfId="1" applyBorder="1"/>
    <xf numFmtId="0" fontId="0" fillId="0" borderId="0" xfId="0" pivotButton="1"/>
  </cellXfs>
  <cellStyles count="2">
    <cellStyle name="Normal" xfId="0" builtinId="0"/>
    <cellStyle name="Normal 2" xfId="1" xr:uid="{9146FCC9-1CA8-499E-8DBB-D9ED2946B688}"/>
  </cellStyles>
  <dxfs count="2"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py%20of%20ReportMundipharma_1912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vnhuongntt/AppData/Local/Microsoft/Windows/INetCache/Content.Outlook/YC4SP971/Ds%20H&#7885;c%20Onlin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vnhuongntt/AppData/Local/Microsoft/Windows/INetCache/Content.Outlook/YC4SP971/Weekly%20Report_Online%20CPE_Mundipharma_Medihub_20020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ongKe"/>
      <sheetName val="Bai1_View"/>
      <sheetName val="Bai1_VuotQua"/>
      <sheetName val="Bai2_View"/>
      <sheetName val="Bai2_VuotQua"/>
      <sheetName val="Bai3_View"/>
      <sheetName val="Bai3_VuotQua"/>
      <sheetName val="Bai4_View"/>
      <sheetName val="Bai4_VuotQua"/>
    </sheetNames>
    <sheetDataSet>
      <sheetData sheetId="0"/>
      <sheetData sheetId="1">
        <row r="2">
          <cell r="E2" t="str">
            <v>0908770719</v>
          </cell>
          <cell r="F2" t="str">
            <v>436, P.08,Quận 10,Hồ Chí Minh</v>
          </cell>
          <cell r="G2" t="str">
            <v>Bài 1: Tư vấn điều trị viêm họng - Nhà thuốc cần lưu ý gì?</v>
          </cell>
          <cell r="H2">
            <v>43773.469270833331</v>
          </cell>
          <cell r="I2" t="str">
            <v>HCM</v>
          </cell>
          <cell r="J2" t="str">
            <v>A. Tri</v>
          </cell>
        </row>
        <row r="3">
          <cell r="E3" t="str">
            <v>0908555420</v>
          </cell>
          <cell r="F3" t="str">
            <v>475 BA HAT, P.08,Quận 10,Hồ Chí Minh</v>
          </cell>
          <cell r="G3" t="str">
            <v>Bài 1: Tư vấn điều trị viêm họng - Nhà thuốc cần lưu ý gì?</v>
          </cell>
          <cell r="H3">
            <v>43787.384513888886</v>
          </cell>
          <cell r="I3" t="str">
            <v>HCM</v>
          </cell>
          <cell r="J3" t="str">
            <v>A. Tri</v>
          </cell>
        </row>
        <row r="4">
          <cell r="E4" t="str">
            <v>0906012898</v>
          </cell>
          <cell r="F4" t="str">
            <v>86 Lò Đúc, P.Phạm Đình Hổ,Hai Bà Trưng,Hà Nội</v>
          </cell>
          <cell r="G4" t="str">
            <v>Bài 1: Tư vấn điều trị viêm họng - Nhà thuốc cần lưu ý gì?</v>
          </cell>
          <cell r="H4">
            <v>43787.517951388887</v>
          </cell>
          <cell r="I4" t="str">
            <v>HN</v>
          </cell>
          <cell r="J4" t="str">
            <v>C. Quy</v>
          </cell>
        </row>
        <row r="5">
          <cell r="E5" t="str">
            <v>0352494097</v>
          </cell>
          <cell r="F5" t="str">
            <v>72a/5 ph9 phuong tan bien, P.Tân Biên,Biên Hòa,Đồng Nai</v>
          </cell>
          <cell r="G5" t="str">
            <v>Bài 1: Tư vấn điều trị viêm họng - Nhà thuốc cần lưu ý gì?</v>
          </cell>
          <cell r="H5">
            <v>43773.487523148149</v>
          </cell>
          <cell r="I5" t="str">
            <v>Đồng Nai</v>
          </cell>
          <cell r="J5" t="str">
            <v>A. Tho</v>
          </cell>
        </row>
        <row r="6">
          <cell r="E6" t="str">
            <v>0362225885</v>
          </cell>
          <cell r="F6" t="str">
            <v>35 cũ nay 251 Trần Đại Nghĩa, P.Đồng Tâm,Hai Bà Trưng,Hà Nội</v>
          </cell>
          <cell r="G6" t="str">
            <v>Bài 1: Tư vấn điều trị viêm họng - Nhà thuốc cần lưu ý gì?</v>
          </cell>
          <cell r="H6">
            <v>43774.479513888888</v>
          </cell>
          <cell r="I6" t="str">
            <v>HN</v>
          </cell>
          <cell r="J6" t="str">
            <v>C. Quy</v>
          </cell>
        </row>
        <row r="7">
          <cell r="E7" t="str">
            <v>0937234829</v>
          </cell>
          <cell r="F7" t="str">
            <v>Cong quynh, P.Phạm Ngũ Lão,Quận 1,Hồ Chí Minh</v>
          </cell>
          <cell r="G7" t="str">
            <v>Bài 1: Tư vấn điều trị viêm họng - Nhà thuốc cần lưu ý gì?</v>
          </cell>
          <cell r="H7">
            <v>43815.493425925924</v>
          </cell>
          <cell r="I7" t="str">
            <v>HCM</v>
          </cell>
          <cell r="J7" t="str">
            <v>A. Tri</v>
          </cell>
        </row>
        <row r="8">
          <cell r="E8" t="str">
            <v>0978974964</v>
          </cell>
          <cell r="F8" t="str">
            <v>quốc lộ 14, P.Pơng Drang,Krông Búk,Đắk Lắk</v>
          </cell>
          <cell r="G8" t="str">
            <v>Bài 1: Tư vấn điều trị viêm họng - Nhà thuốc cần lưu ý gì?</v>
          </cell>
          <cell r="H8">
            <v>43768.833877314813</v>
          </cell>
          <cell r="I8" t="str">
            <v>Đăk Lăk</v>
          </cell>
          <cell r="J8" t="str">
            <v>A. Tho</v>
          </cell>
        </row>
        <row r="9">
          <cell r="E9" t="str">
            <v>0902117077</v>
          </cell>
          <cell r="F9" t="str">
            <v>198 Xã Đàn, P.Ô Chợ Dừa,Đống Đa,Hà Nội</v>
          </cell>
          <cell r="G9" t="str">
            <v>Bài 1: Tư vấn điều trị viêm họng - Nhà thuốc cần lưu ý gì?</v>
          </cell>
          <cell r="H9">
            <v>43775.630173611113</v>
          </cell>
          <cell r="I9" t="str">
            <v>HN</v>
          </cell>
          <cell r="J9" t="str">
            <v>C. Quy</v>
          </cell>
        </row>
        <row r="10">
          <cell r="E10" t="str">
            <v>0704968018</v>
          </cell>
          <cell r="F10" t="str">
            <v>110/12 NGUYEN VIET HONG- P. AN PHU, P.An Phú,Ninh Kiều,Cần Thơ</v>
          </cell>
          <cell r="G10" t="str">
            <v>Bài 1: Tư vấn điều trị viêm họng - Nhà thuốc cần lưu ý gì?</v>
          </cell>
          <cell r="H10">
            <v>43768.436273148145</v>
          </cell>
          <cell r="I10" t="str">
            <v>Cần Thơ</v>
          </cell>
          <cell r="J10" t="str">
            <v>A. Tho</v>
          </cell>
        </row>
        <row r="11">
          <cell r="E11" t="str">
            <v>0907089624</v>
          </cell>
          <cell r="F11" t="str">
            <v>79D4, Khu Vực Thạnh Mỹ, P.Thường Thạnh,Cái Răng,Cần Thơ</v>
          </cell>
          <cell r="G11" t="str">
            <v>Bài 1: Tư vấn điều trị viêm họng - Nhà thuốc cần lưu ý gì?</v>
          </cell>
          <cell r="H11">
            <v>43794.37605324074</v>
          </cell>
          <cell r="I11" t="str">
            <v>Cần Thơ</v>
          </cell>
          <cell r="J11" t="str">
            <v>A. Tho</v>
          </cell>
        </row>
        <row r="12">
          <cell r="E12" t="str">
            <v>0335720069</v>
          </cell>
          <cell r="F12" t="str">
            <v>626 minh khai, P.Vĩnh Tuy,Hai Bà Trưng,Hà Nội</v>
          </cell>
          <cell r="G12" t="str">
            <v>Bài 1: Tư vấn điều trị viêm họng - Nhà thuốc cần lưu ý gì?</v>
          </cell>
          <cell r="H12">
            <v>43777.413506944446</v>
          </cell>
          <cell r="I12" t="str">
            <v>HN</v>
          </cell>
          <cell r="J12" t="str">
            <v>C. Quy</v>
          </cell>
        </row>
        <row r="13">
          <cell r="E13" t="str">
            <v>0934567663</v>
          </cell>
          <cell r="F13" t="str">
            <v>Trần Hưng Đạo, P.Mỹ Thới,Long Xuyên,An Giang</v>
          </cell>
          <cell r="G13" t="str">
            <v>Bài 1: Tư vấn điều trị viêm họng - Nhà thuốc cần lưu ý gì?</v>
          </cell>
          <cell r="H13">
            <v>43784.4528125</v>
          </cell>
          <cell r="I13" t="str">
            <v>An Giang</v>
          </cell>
          <cell r="J13" t="str">
            <v>A. Tho</v>
          </cell>
        </row>
        <row r="14">
          <cell r="E14" t="str">
            <v>0766855066</v>
          </cell>
          <cell r="F14" t="str">
            <v>178, P.Tân An,Ninh Kiều,Cần Thơ</v>
          </cell>
          <cell r="G14" t="str">
            <v>Tư vấn điều trị viêm họng: Nhà thuốc cần lưu ý gì?</v>
          </cell>
          <cell r="H14">
            <v>43753.591099537036</v>
          </cell>
          <cell r="I14" t="str">
            <v>Cần Thơ</v>
          </cell>
          <cell r="J14" t="str">
            <v>A. Tho</v>
          </cell>
        </row>
        <row r="15">
          <cell r="E15" t="str">
            <v>0385750840</v>
          </cell>
          <cell r="F15" t="str">
            <v>45, P.Nghĩa Đô,Cầu Giấy,Hà Nội</v>
          </cell>
          <cell r="G15" t="str">
            <v>Tư vấn điều trị viêm họng: Nhà thuốc cần lưu ý gì?</v>
          </cell>
          <cell r="H15">
            <v>43753.591620370367</v>
          </cell>
          <cell r="I15" t="str">
            <v>HN</v>
          </cell>
          <cell r="J15" t="str">
            <v>C. Quy</v>
          </cell>
        </row>
        <row r="16">
          <cell r="E16" t="str">
            <v>0908412436</v>
          </cell>
          <cell r="F16" t="str">
            <v>702 HUONG LO 2, P. BINH TRI DONG A, P.Bình Hưng Hòa,Bình Tân,Hồ Chí Minh</v>
          </cell>
          <cell r="G16" t="str">
            <v>Bài 1: Tư vấn điều trị viêm họng - Nhà thuốc cần lưu ý gì?</v>
          </cell>
          <cell r="H16">
            <v>43782.441608796296</v>
          </cell>
          <cell r="I16" t="str">
            <v>HCM</v>
          </cell>
          <cell r="J16" t="str">
            <v>A. Tri</v>
          </cell>
        </row>
        <row r="17">
          <cell r="E17" t="str">
            <v>0902485557</v>
          </cell>
          <cell r="F17" t="str">
            <v>011 Chung Cư Tân Sơn Nhì, P.14,Tân Bình,Hồ Chí Minh</v>
          </cell>
          <cell r="G17" t="str">
            <v>Bài 1: Tư vấn điều trị viêm họng - Nhà thuốc cần lưu ý gì?</v>
          </cell>
          <cell r="H17">
            <v>43777.451516203706</v>
          </cell>
          <cell r="I17" t="str">
            <v>HCM</v>
          </cell>
          <cell r="J17" t="str">
            <v>A. Tri</v>
          </cell>
        </row>
        <row r="18">
          <cell r="E18" t="str">
            <v>0913143031</v>
          </cell>
          <cell r="F18" t="str">
            <v>197, đường 1/5,, P.Tràm Chim,Tam Nông,Đồng Tháp</v>
          </cell>
          <cell r="G18" t="str">
            <v>Bài 1: Tư vấn điều trị viêm họng - Nhà thuốc cần lưu ý gì?</v>
          </cell>
          <cell r="H18">
            <v>43768.428298611114</v>
          </cell>
          <cell r="I18" t="str">
            <v>Đồng Tháp</v>
          </cell>
          <cell r="J18" t="str">
            <v>A. Tho</v>
          </cell>
        </row>
        <row r="19">
          <cell r="E19" t="str">
            <v>0932985905</v>
          </cell>
          <cell r="F19" t="str">
            <v>10 trần việt châu, P.An Hòa,Ninh Kiều,Cần Thơ</v>
          </cell>
          <cell r="G19" t="str">
            <v>Bài 1: Tư vấn điều trị viêm họng - Nhà thuốc cần lưu ý gì?</v>
          </cell>
          <cell r="H19">
            <v>43773.38318287037</v>
          </cell>
          <cell r="I19" t="str">
            <v>Cần Thơ</v>
          </cell>
          <cell r="J19" t="str">
            <v>A. Tho</v>
          </cell>
        </row>
        <row r="20">
          <cell r="E20" t="str">
            <v>0938980689</v>
          </cell>
          <cell r="F20" t="str">
            <v>08 lô C Mạc Thiên Tích , P.11,Quận 5,Hồ Chí Minh</v>
          </cell>
          <cell r="G20" t="str">
            <v>Bài 1: Tư vấn điều trị viêm họng - Nhà thuốc cần lưu ý gì?</v>
          </cell>
          <cell r="H20">
            <v>43774.474849537037</v>
          </cell>
          <cell r="I20" t="str">
            <v>HCM</v>
          </cell>
          <cell r="J20" t="str">
            <v>A. Tri</v>
          </cell>
        </row>
        <row r="21">
          <cell r="E21" t="str">
            <v>0982600388</v>
          </cell>
          <cell r="F21" t="str">
            <v>81B xuân diệu, P.Quảng An,Tây Hồ,Hà Nội</v>
          </cell>
          <cell r="G21" t="str">
            <v>Bài 1: Tư vấn điều trị viêm họng - Nhà thuốc cần lưu ý gì?</v>
          </cell>
          <cell r="H21">
            <v>43818.508437500001</v>
          </cell>
          <cell r="I21" t="str">
            <v>HN</v>
          </cell>
          <cell r="J21" t="str">
            <v>C. Quy</v>
          </cell>
        </row>
        <row r="22">
          <cell r="E22" t="str">
            <v>0908275696</v>
          </cell>
          <cell r="F22" t="str">
            <v>Hai Bà Trưng, P. Mỹ Long, Tp. Long Xuyên, P.Mỹ Long,Long Xuyên,An Giang</v>
          </cell>
          <cell r="G22" t="str">
            <v>Bài 1: Tư vấn điều trị viêm họng - Nhà thuốc cần lưu ý gì?</v>
          </cell>
          <cell r="H22">
            <v>43766.670439814814</v>
          </cell>
          <cell r="I22" t="str">
            <v>An Giang</v>
          </cell>
          <cell r="J22" t="str">
            <v>A. Tho</v>
          </cell>
        </row>
        <row r="23">
          <cell r="E23" t="str">
            <v>0917266219</v>
          </cell>
          <cell r="F23" t="str">
            <v>47 Cửu Long, P.15,Quận 10,Hồ Chí Minh</v>
          </cell>
          <cell r="G23" t="str">
            <v>Bài 1: Tư vấn điều trị viêm họng - Nhà thuốc cần lưu ý gì?</v>
          </cell>
          <cell r="H23">
            <v>43770.412094907406</v>
          </cell>
          <cell r="I23" t="str">
            <v>HCM</v>
          </cell>
          <cell r="J23" t="str">
            <v>A. Tri</v>
          </cell>
        </row>
        <row r="24">
          <cell r="E24" t="str">
            <v>0979336497</v>
          </cell>
          <cell r="F24" t="str">
            <v>86 no trang long, P.Tân Tiến,Buôn Ma Thuột,Đắk Lắk</v>
          </cell>
          <cell r="G24" t="str">
            <v>Bài 1: Tư vấn điều trị viêm họng - Nhà thuốc cần lưu ý gì?</v>
          </cell>
          <cell r="H24">
            <v>43762.668958333335</v>
          </cell>
          <cell r="I24" t="str">
            <v>Đăk Lăk</v>
          </cell>
          <cell r="J24" t="str">
            <v>A. Tho</v>
          </cell>
        </row>
        <row r="25">
          <cell r="E25" t="str">
            <v>0965568368</v>
          </cell>
          <cell r="F25" t="str">
            <v>1035 kp 7 phường long bình , P.Long Bình,Biên Hòa,Đồng Nai</v>
          </cell>
          <cell r="G25" t="str">
            <v>Bài 1: Tư vấn điều trị viêm họng - Nhà thuốc cần lưu ý gì?</v>
          </cell>
          <cell r="H25">
            <v>43777.649537037039</v>
          </cell>
          <cell r="I25" t="str">
            <v>Đồng Nai</v>
          </cell>
          <cell r="J25" t="str">
            <v>A. Tho</v>
          </cell>
        </row>
        <row r="26">
          <cell r="E26" t="str">
            <v>0914741139</v>
          </cell>
          <cell r="F26" t="str">
            <v>52 Nguyễn Văn Lượng, P.17,Gò Vấp,Hồ Chí Minh</v>
          </cell>
          <cell r="G26" t="str">
            <v>Bài 1: Tư vấn điều trị viêm họng - Nhà thuốc cần lưu ý gì?</v>
          </cell>
          <cell r="H26">
            <v>43808.470868055556</v>
          </cell>
          <cell r="I26" t="str">
            <v>HCM</v>
          </cell>
          <cell r="J26" t="str">
            <v>A. Tri</v>
          </cell>
        </row>
        <row r="27">
          <cell r="E27" t="str">
            <v>0943958020</v>
          </cell>
          <cell r="F27" t="str">
            <v>Số 6 ngõ 34 Âu Cơ, P.Quảng An,Tây Hồ,Hà Nội</v>
          </cell>
          <cell r="G27" t="str">
            <v>Bài 1: Tư vấn điều trị viêm họng - Nhà thuốc cần lưu ý gì?</v>
          </cell>
          <cell r="H27">
            <v>43784.870034722226</v>
          </cell>
          <cell r="I27" t="str">
            <v>HN</v>
          </cell>
          <cell r="J27" t="str">
            <v>C. Quy</v>
          </cell>
        </row>
        <row r="28">
          <cell r="E28" t="str">
            <v>0903031551</v>
          </cell>
          <cell r="F28" t="str">
            <v>373 Điện Biên Phủ, P.04,Quận 3,Hồ Chí Minh</v>
          </cell>
          <cell r="G28" t="str">
            <v>Bài 1: Tư vấn điều trị viêm họng - Nhà thuốc cần lưu ý gì?</v>
          </cell>
          <cell r="H28">
            <v>43815.491157407407</v>
          </cell>
          <cell r="I28" t="str">
            <v>HCM</v>
          </cell>
          <cell r="J28" t="str">
            <v>A. Tri</v>
          </cell>
        </row>
        <row r="29">
          <cell r="E29" t="str">
            <v>0996986777</v>
          </cell>
          <cell r="F29" t="str">
            <v>327/37/11 ymoan, P.Tân Lợi,Buôn Ma Thuột,Đắk Lắk</v>
          </cell>
          <cell r="G29" t="str">
            <v>Tư vấn điều trị viêm họng: Nhà thuốc cần lưu ý gì?</v>
          </cell>
          <cell r="H29">
            <v>43753.58699074074</v>
          </cell>
          <cell r="I29" t="str">
            <v>Đăk Lăk</v>
          </cell>
          <cell r="J29" t="str">
            <v>A. Tho</v>
          </cell>
        </row>
        <row r="30">
          <cell r="E30" t="str">
            <v>0908822952</v>
          </cell>
          <cell r="F30" t="str">
            <v>351 Tân Hoà Dông, P.Bình Trị Đông,Bình Tân,Hồ Chí Minh</v>
          </cell>
          <cell r="G30" t="str">
            <v>Bài 1: Tư vấn điều trị viêm họng - Nhà thuốc cần lưu ý gì?</v>
          </cell>
          <cell r="H30">
            <v>43782.490532407406</v>
          </cell>
          <cell r="I30" t="str">
            <v>HCM</v>
          </cell>
          <cell r="J30" t="str">
            <v>A. Tri</v>
          </cell>
        </row>
        <row r="31">
          <cell r="E31" t="str">
            <v>0907406779</v>
          </cell>
          <cell r="F31" t="str">
            <v>73 Tran Binh Trong- P. 1, P.01,Quận 5,Hồ Chí Minh</v>
          </cell>
          <cell r="G31" t="str">
            <v>Bài 1: Tư vấn điều trị viêm họng - Nhà thuốc cần lưu ý gì?</v>
          </cell>
          <cell r="H31">
            <v>43775.411759259259</v>
          </cell>
          <cell r="I31" t="str">
            <v>HCM</v>
          </cell>
          <cell r="J31" t="str">
            <v>A. Tri</v>
          </cell>
        </row>
        <row r="32">
          <cell r="E32" t="str">
            <v>0979894385</v>
          </cell>
          <cell r="F32" t="str">
            <v>451 lạc long quân, P.Xuân La,Tây Hồ,Hà Nội</v>
          </cell>
          <cell r="G32" t="str">
            <v>Bài 1: Tư vấn điều trị viêm họng - Nhà thuốc cần lưu ý gì?</v>
          </cell>
          <cell r="H32">
            <v>43784.314618055556</v>
          </cell>
          <cell r="I32" t="str">
            <v>HN</v>
          </cell>
          <cell r="J32" t="str">
            <v>C. Quy</v>
          </cell>
        </row>
        <row r="33">
          <cell r="E33" t="str">
            <v>0335192655</v>
          </cell>
          <cell r="F33" t="str">
            <v>74 Lê Đức Thọ, P.07,Gò Vấp,Hồ Chí Minh</v>
          </cell>
          <cell r="G33" t="str">
            <v>Bài 1: Tư vấn điều trị viêm họng - Nhà thuốc cần lưu ý gì?</v>
          </cell>
          <cell r="H33">
            <v>43770.472754629627</v>
          </cell>
          <cell r="I33" t="str">
            <v>HCM</v>
          </cell>
          <cell r="J33" t="str">
            <v>A. Tri</v>
          </cell>
        </row>
        <row r="34">
          <cell r="E34" t="str">
            <v>0348808485</v>
          </cell>
          <cell r="F34" t="str">
            <v>506 Nguyen van cong p3 gv, P.03,Gò Vấp,Hồ Chí Minh</v>
          </cell>
          <cell r="G34" t="str">
            <v>Bài 1: Tư vấn điều trị viêm họng - Nhà thuốc cần lưu ý gì?</v>
          </cell>
          <cell r="H34">
            <v>43775.87740740741</v>
          </cell>
          <cell r="I34" t="str">
            <v>HCM</v>
          </cell>
          <cell r="J34" t="str">
            <v>A. Tri</v>
          </cell>
        </row>
        <row r="35">
          <cell r="E35" t="str">
            <v>0905713139</v>
          </cell>
          <cell r="F35" t="str">
            <v>4 yersin , P.Xương Huân,Nha Trang,Khánh Hòa</v>
          </cell>
          <cell r="G35" t="str">
            <v>Bài 1: Tư vấn điều trị viêm họng - Nhà thuốc cần lưu ý gì?</v>
          </cell>
          <cell r="H35">
            <v>43819.670127314814</v>
          </cell>
          <cell r="I35" t="str">
            <v>Khánh Hòa</v>
          </cell>
          <cell r="J35" t="str">
            <v>A. Tho</v>
          </cell>
        </row>
        <row r="36">
          <cell r="E36" t="str">
            <v>0986998280</v>
          </cell>
          <cell r="F36" t="str">
            <v>2775, P.Vân Cơ,Việt Trì,Phú Thọ</v>
          </cell>
          <cell r="G36" t="str">
            <v>Bài 1: Tư vấn điều trị viêm họng - Nhà thuốc cần lưu ý gì?</v>
          </cell>
          <cell r="H36">
            <v>43795.647812499999</v>
          </cell>
          <cell r="I36" t="str">
            <v>Phú Thọ</v>
          </cell>
          <cell r="J36" t="str">
            <v>A. Tuan</v>
          </cell>
        </row>
        <row r="37">
          <cell r="E37" t="str">
            <v>0904618036</v>
          </cell>
          <cell r="F37" t="str">
            <v>124 ngo gia tự, P.Cam Nghĩa,Cam Ranh,Khánh Hòa</v>
          </cell>
          <cell r="G37" t="str">
            <v>Tư vấn điều trị viêm họng: Nhà thuốc cần lưu ý gì?</v>
          </cell>
          <cell r="H37">
            <v>43753.590648148151</v>
          </cell>
          <cell r="I37" t="str">
            <v>Khánh Hòa</v>
          </cell>
          <cell r="J37" t="str">
            <v>A. Tho</v>
          </cell>
        </row>
        <row r="38">
          <cell r="E38" t="str">
            <v>0909473674</v>
          </cell>
          <cell r="F38" t="str">
            <v>G4A, P.15,Quận 10,Hồ Chí Minh</v>
          </cell>
          <cell r="G38" t="str">
            <v>Bài 1: Tư vấn điều trị viêm họng - Nhà thuốc cần lưu ý gì?</v>
          </cell>
          <cell r="H38">
            <v>43770.39571759259</v>
          </cell>
          <cell r="I38" t="str">
            <v>HCM</v>
          </cell>
          <cell r="J38" t="str">
            <v>A. Tri</v>
          </cell>
        </row>
        <row r="39">
          <cell r="E39" t="str">
            <v>0337319911</v>
          </cell>
          <cell r="F39" t="str">
            <v>270 Trường Chinh, P.Lê Lợi,Vinh,Nghệ An</v>
          </cell>
          <cell r="G39" t="str">
            <v>Bài 1: Tư vấn điều trị viêm họng - Nhà thuốc cần lưu ý gì?</v>
          </cell>
          <cell r="H39">
            <v>43817.474641203706</v>
          </cell>
          <cell r="I39" t="str">
            <v>Nghệ An</v>
          </cell>
          <cell r="J39" t="str">
            <v>A. Tuan</v>
          </cell>
        </row>
        <row r="40">
          <cell r="E40" t="str">
            <v>0975994088</v>
          </cell>
          <cell r="F40" t="str">
            <v>180 Xuân Diệu, P.Yên Phụ,Tây Hồ,Hà Nội</v>
          </cell>
          <cell r="G40" t="str">
            <v>Bài 1: Tư vấn điều trị viêm họng - Nhà thuốc cần lưu ý gì?</v>
          </cell>
          <cell r="H40">
            <v>43791.658946759257</v>
          </cell>
          <cell r="I40" t="str">
            <v>HN</v>
          </cell>
          <cell r="J40" t="str">
            <v>C. Quy</v>
          </cell>
        </row>
        <row r="41">
          <cell r="E41" t="str">
            <v>0379361655</v>
          </cell>
          <cell r="F41" t="str">
            <v>59 Trần Đại Nghĩa, P.Bách Khoa,Hai Bà Trưng,Hà Nội</v>
          </cell>
          <cell r="G41" t="str">
            <v>Bài 1: Tư vấn điều trị viêm họng - Nhà thuốc cần lưu ý gì?</v>
          </cell>
          <cell r="H41">
            <v>43794.692164351851</v>
          </cell>
          <cell r="I41" t="str">
            <v>HN</v>
          </cell>
          <cell r="J41" t="str">
            <v>C. Quy</v>
          </cell>
        </row>
        <row r="42">
          <cell r="E42" t="str">
            <v>0903781130</v>
          </cell>
          <cell r="F42" t="str">
            <v>55 BIS A NGUYỄN THÔNG, P.09,Quận 3,Hồ Chí Minh</v>
          </cell>
          <cell r="G42" t="str">
            <v>Bài 1: Tư vấn điều trị viêm họng - Nhà thuốc cần lưu ý gì?</v>
          </cell>
          <cell r="H42">
            <v>43775.469317129631</v>
          </cell>
          <cell r="I42" t="str">
            <v>HCM</v>
          </cell>
          <cell r="J42" t="str">
            <v>A. Tri</v>
          </cell>
        </row>
        <row r="43">
          <cell r="E43" t="str">
            <v>0973732068</v>
          </cell>
          <cell r="F43" t="str">
            <v>493 Nguyễn Văn Công, P.03,Gò Vấp,Hồ Chí Minh</v>
          </cell>
          <cell r="G43" t="str">
            <v>Bài 1: Tư vấn điều trị viêm họng - Nhà thuốc cần lưu ý gì?</v>
          </cell>
          <cell r="H43">
            <v>43777.413865740738</v>
          </cell>
          <cell r="I43" t="str">
            <v>HCM</v>
          </cell>
          <cell r="J43" t="str">
            <v>A. Tri</v>
          </cell>
        </row>
        <row r="44">
          <cell r="E44" t="str">
            <v>0853951656</v>
          </cell>
          <cell r="F44" t="str">
            <v>91 trần quý cáp, P.Diên Khánh,Diên Khánh,Khánh Hòa</v>
          </cell>
          <cell r="G44" t="str">
            <v>Bài 1: Tư vấn điều trị viêm họng - Nhà thuốc cần lưu ý gì?</v>
          </cell>
          <cell r="H44">
            <v>43817.489560185182</v>
          </cell>
          <cell r="I44" t="str">
            <v>Khánh Hòa</v>
          </cell>
          <cell r="J44" t="str">
            <v>A. Tho</v>
          </cell>
        </row>
        <row r="45">
          <cell r="E45" t="str">
            <v>0971399267</v>
          </cell>
          <cell r="F45" t="str">
            <v>66 to 22 mai dịch, P.Mai Dịch,Cầu Giấy,Hà Nội</v>
          </cell>
          <cell r="G45" t="str">
            <v>Bài 1: Tư vấn điều trị viêm họng - Nhà thuốc cần lưu ý gì?</v>
          </cell>
          <cell r="H45">
            <v>43818.614837962959</v>
          </cell>
          <cell r="I45" t="str">
            <v>HN</v>
          </cell>
          <cell r="J45" t="str">
            <v>A. Tuan</v>
          </cell>
        </row>
        <row r="46">
          <cell r="E46" t="str">
            <v>0932344890</v>
          </cell>
          <cell r="F46" t="str">
            <v>203/1 lac long quân , P.03,Quận 11,Hồ Chí Minh</v>
          </cell>
          <cell r="G46" t="str">
            <v>Bài 1: Tư vấn điều trị viêm họng - Nhà thuốc cần lưu ý gì?</v>
          </cell>
          <cell r="H46">
            <v>43776.697627314818</v>
          </cell>
          <cell r="I46" t="str">
            <v>HCM</v>
          </cell>
          <cell r="J46" t="str">
            <v>A. Tri</v>
          </cell>
        </row>
        <row r="47">
          <cell r="E47" t="str">
            <v>0856930090</v>
          </cell>
          <cell r="F47" t="str">
            <v>380P/14B Nguyễn Văn Cừ, P.Xuân Khánh,Ninh Kiều,Cần Thơ</v>
          </cell>
          <cell r="G47" t="str">
            <v>Bài 1: Tư vấn điều trị viêm họng - Nhà thuốc cần lưu ý gì?</v>
          </cell>
          <cell r="H47">
            <v>43766.672175925924</v>
          </cell>
          <cell r="I47" t="str">
            <v>Cần Thơ</v>
          </cell>
          <cell r="J47" t="str">
            <v>A. Tho</v>
          </cell>
        </row>
        <row r="48">
          <cell r="E48" t="str">
            <v>0979379730</v>
          </cell>
          <cell r="F48" t="str">
            <v>28 Đội Cấn, P.Đội Cấn,Ba Đình,Hà Nội</v>
          </cell>
          <cell r="G48" t="str">
            <v>Tư vấn điều trị viêm họng: Nhà thuốc cần lưu ý gì?</v>
          </cell>
          <cell r="H48">
            <v>43753.588252314818</v>
          </cell>
          <cell r="I48" t="str">
            <v>HN</v>
          </cell>
          <cell r="J48" t="str">
            <v>C. Quy</v>
          </cell>
        </row>
        <row r="49">
          <cell r="E49" t="str">
            <v>0912174547</v>
          </cell>
          <cell r="F49" t="str">
            <v>1/1, ấp An Hòa, P.Hóa An,Biên Hòa,Đồng Nai</v>
          </cell>
          <cell r="G49" t="str">
            <v>Bài 1: Tư vấn điều trị viêm họng - Nhà thuốc cần lưu ý gì?</v>
          </cell>
          <cell r="H49">
            <v>43773.394930555558</v>
          </cell>
          <cell r="I49" t="str">
            <v>Đồng Nai</v>
          </cell>
          <cell r="J49" t="str">
            <v>A. Tho</v>
          </cell>
        </row>
        <row r="50">
          <cell r="E50" t="str">
            <v>0907909622</v>
          </cell>
          <cell r="F50" t="str">
            <v>16 Hồ Bá Kiện - P.15, P.15,Quận 10,Hồ Chí Minh</v>
          </cell>
          <cell r="G50" t="str">
            <v>Bài 1: Tư vấn điều trị viêm họng - Nhà thuốc cần lưu ý gì?</v>
          </cell>
          <cell r="H50">
            <v>43773.424560185187</v>
          </cell>
          <cell r="I50" t="str">
            <v>HCM</v>
          </cell>
          <cell r="J50" t="str">
            <v>A. Tri</v>
          </cell>
        </row>
        <row r="51">
          <cell r="E51" t="str">
            <v>0342826369</v>
          </cell>
          <cell r="F51" t="str">
            <v>176A Thống Nhất, P.Phương Sài,Nha Trang,Khánh Hòa</v>
          </cell>
          <cell r="G51" t="str">
            <v>Bài 1: Tư vấn điều trị viêm họng - Nhà thuốc cần lưu ý gì?</v>
          </cell>
          <cell r="H51">
            <v>43774.929305555554</v>
          </cell>
          <cell r="I51" t="str">
            <v>Khánh Hòa</v>
          </cell>
          <cell r="J51" t="str">
            <v>A. Tho</v>
          </cell>
        </row>
        <row r="52">
          <cell r="E52" t="str">
            <v>0939544608</v>
          </cell>
          <cell r="F52" t="str">
            <v>315A/10 nguyễn văn linh, P.An Khánh,Ninh Kiều,Cần Thơ</v>
          </cell>
          <cell r="G52" t="str">
            <v>Bài 1: Tư vấn điều trị viêm họng - Nhà thuốc cần lưu ý gì?</v>
          </cell>
          <cell r="H52">
            <v>43774.470983796295</v>
          </cell>
          <cell r="I52" t="str">
            <v>Cần Thơ</v>
          </cell>
          <cell r="J52" t="str">
            <v>A. Tho</v>
          </cell>
        </row>
        <row r="53">
          <cell r="E53" t="str">
            <v>033650324</v>
          </cell>
          <cell r="F53" t="str">
            <v>45/295 bạch mai, P.Bạch Mai,Hai Bà Trưng,Hà Nội</v>
          </cell>
          <cell r="G53" t="str">
            <v>Bài 1: Tư vấn điều trị viêm họng - Nhà thuốc cần lưu ý gì?</v>
          </cell>
          <cell r="H53">
            <v>43786.643437500003</v>
          </cell>
          <cell r="I53" t="str">
            <v>HN</v>
          </cell>
          <cell r="J53" t="str">
            <v>C. Quy</v>
          </cell>
        </row>
        <row r="54">
          <cell r="E54" t="str">
            <v>0964203960</v>
          </cell>
          <cell r="F54" t="str">
            <v>so 5- A28, phuong nghia tan, P.Nghĩa Tân,Cầu Giấy,Hà Nội</v>
          </cell>
          <cell r="G54" t="str">
            <v>Bài 1: Tư vấn điều trị viêm họng - Nhà thuốc cần lưu ý gì?</v>
          </cell>
          <cell r="H54">
            <v>43818.538055555553</v>
          </cell>
          <cell r="I54" t="str">
            <v>HN</v>
          </cell>
          <cell r="J54" t="str">
            <v>C. Quy</v>
          </cell>
        </row>
        <row r="55">
          <cell r="E55" t="str">
            <v>0358526172</v>
          </cell>
          <cell r="F55" t="str">
            <v>106H4, P.Thành Công,Ba Đình,Hà Nội</v>
          </cell>
          <cell r="G55" t="str">
            <v>Bài 1: Tư vấn điều trị viêm họng - Nhà thuốc cần lưu ý gì?</v>
          </cell>
          <cell r="H55">
            <v>43790.630196759259</v>
          </cell>
          <cell r="I55" t="str">
            <v>HN</v>
          </cell>
          <cell r="J55" t="str">
            <v>C. Quy</v>
          </cell>
        </row>
        <row r="56">
          <cell r="E56" t="str">
            <v>0395170865</v>
          </cell>
          <cell r="F56" t="str">
            <v>80/12 BA VAN- P. 14, P.14,Tân Bình,Hồ Chí Minh</v>
          </cell>
          <cell r="G56" t="str">
            <v>Bài 1: Tư vấn điều trị viêm họng - Nhà thuốc cần lưu ý gì?</v>
          </cell>
          <cell r="H56">
            <v>43777.50335648148</v>
          </cell>
          <cell r="I56" t="str">
            <v>HCM</v>
          </cell>
          <cell r="J56" t="str">
            <v>A. Tri</v>
          </cell>
        </row>
        <row r="57">
          <cell r="E57" t="str">
            <v>0946344242</v>
          </cell>
          <cell r="F57" t="str">
            <v>2B KV Thạnh Mỹ, P.Thường Thạnh,Cái Răng,Cần Thơ</v>
          </cell>
          <cell r="G57" t="str">
            <v>Bài 1: Tư vấn điều trị viêm họng - Nhà thuốc cần lưu ý gì?</v>
          </cell>
          <cell r="H57">
            <v>43794.438148148147</v>
          </cell>
          <cell r="I57" t="str">
            <v>Cần Thơ</v>
          </cell>
          <cell r="J57" t="str">
            <v>A. Tho</v>
          </cell>
        </row>
        <row r="58">
          <cell r="E58" t="str">
            <v>0834377770</v>
          </cell>
          <cell r="F58" t="str">
            <v>25 lý tự trọng , P.Tân An,Buôn Ma Thuột,Đắk Lắk</v>
          </cell>
          <cell r="G58" t="str">
            <v>Bài 1: Tư vấn điều trị viêm họng - Nhà thuốc cần lưu ý gì?</v>
          </cell>
          <cell r="H58">
            <v>43769.389398148145</v>
          </cell>
          <cell r="I58" t="str">
            <v>Đăk Lăk</v>
          </cell>
          <cell r="J58" t="str">
            <v>A. Tho</v>
          </cell>
        </row>
        <row r="59">
          <cell r="E59" t="str">
            <v>0905360374</v>
          </cell>
          <cell r="F59" t="str">
            <v>65 vân đồn, P.Phước Hòa,Nha Trang,Khánh Hòa</v>
          </cell>
          <cell r="G59" t="str">
            <v>Bài 1: Tư vấn điều trị viêm họng - Nhà thuốc cần lưu ý gì?</v>
          </cell>
          <cell r="H59">
            <v>43773.449641203704</v>
          </cell>
          <cell r="I59" t="str">
            <v>Khánh Hòa</v>
          </cell>
          <cell r="J59" t="str">
            <v>A. Tho</v>
          </cell>
        </row>
        <row r="60">
          <cell r="E60" t="str">
            <v>0982831858</v>
          </cell>
          <cell r="F60" t="str">
            <v>Nguyễn Văn Tiết, P.Lái Thiêu,Thuận An,Bình Dương</v>
          </cell>
          <cell r="G60" t="str">
            <v>Bài 1: Tư vấn điều trị viêm họng - Nhà thuốc cần lưu ý gì?</v>
          </cell>
          <cell r="H60">
            <v>43804.246747685182</v>
          </cell>
          <cell r="I60" t="str">
            <v>Bình Dương</v>
          </cell>
          <cell r="J60" t="str">
            <v>A. Tho</v>
          </cell>
        </row>
        <row r="61">
          <cell r="E61" t="str">
            <v>0988192916</v>
          </cell>
          <cell r="F61" t="str">
            <v>233 đường thanh nhàn , P.Thanh Nhàn,Hai Bà Trưng,Hà Nội</v>
          </cell>
          <cell r="G61" t="str">
            <v>Bài 1: Tư vấn điều trị viêm họng - Nhà thuốc cần lưu ý gì?</v>
          </cell>
          <cell r="H61">
            <v>43774.435208333336</v>
          </cell>
          <cell r="I61" t="str">
            <v>HN</v>
          </cell>
          <cell r="J61" t="str">
            <v>C. Quy</v>
          </cell>
        </row>
        <row r="62">
          <cell r="E62" t="str">
            <v>0375231202</v>
          </cell>
          <cell r="F62" t="str">
            <v>79 trương Định, P.Trương Định,Hai Bà Trưng,Hà Nội</v>
          </cell>
          <cell r="G62" t="str">
            <v>Bài 1: Tư vấn điều trị viêm họng - Nhà thuốc cần lưu ý gì?</v>
          </cell>
          <cell r="H62">
            <v>43797.661053240743</v>
          </cell>
          <cell r="I62" t="str">
            <v>HN</v>
          </cell>
          <cell r="J62" t="str">
            <v>C. Quy</v>
          </cell>
        </row>
        <row r="63">
          <cell r="E63" t="str">
            <v>0933168858</v>
          </cell>
          <cell r="F63" t="str">
            <v>298 Le Van Luong, P.Phước Kiển,Nhà Bè,Hồ Chí Minh</v>
          </cell>
          <cell r="G63" t="str">
            <v>Tư vấn điều trị viêm họng: Nhà thuốc cần lưu ý gì?</v>
          </cell>
          <cell r="H63">
            <v>43753.592905092592</v>
          </cell>
          <cell r="I63" t="str">
            <v>HCM</v>
          </cell>
          <cell r="J63" t="str">
            <v>A. Tri</v>
          </cell>
        </row>
        <row r="64">
          <cell r="E64" t="str">
            <v>0982601483</v>
          </cell>
          <cell r="F64" t="str">
            <v>8/10b, đường Huỳnh Văn Nghệ, P.Bửu Long,Biên Hòa,Đồng Nai</v>
          </cell>
          <cell r="G64" t="str">
            <v>Bài 1: Tư vấn điều trị viêm họng - Nhà thuốc cần lưu ý gì?</v>
          </cell>
          <cell r="H64">
            <v>43778.701874999999</v>
          </cell>
          <cell r="I64" t="str">
            <v>Đồng Nai</v>
          </cell>
          <cell r="J64" t="str">
            <v>A. Tho</v>
          </cell>
        </row>
        <row r="65">
          <cell r="E65" t="str">
            <v>0913608415</v>
          </cell>
          <cell r="F65" t="str">
            <v>69A Nguyễn Văn Linh, P.Mỹ Phước,Long Xuyên,An Giang</v>
          </cell>
          <cell r="G65" t="str">
            <v>Bài 1: Tư vấn điều trị viêm họng - Nhà thuốc cần lưu ý gì?</v>
          </cell>
          <cell r="H65">
            <v>43777.478645833333</v>
          </cell>
          <cell r="I65" t="str">
            <v>An Giang</v>
          </cell>
          <cell r="J65" t="str">
            <v>A. Tho</v>
          </cell>
        </row>
        <row r="66">
          <cell r="E66" t="str">
            <v>0972629129</v>
          </cell>
          <cell r="F66" t="str">
            <v>504 Minh Khai, P.Vĩnh Tuy,Hai Bà Trưng,Hà Nội</v>
          </cell>
          <cell r="G66" t="str">
            <v>Bài 1: Tư vấn điều trị viêm họng - Nhà thuốc cần lưu ý gì?</v>
          </cell>
          <cell r="H66">
            <v>43795.418946759259</v>
          </cell>
          <cell r="I66" t="str">
            <v>HN</v>
          </cell>
          <cell r="J66" t="str">
            <v>C. Quy</v>
          </cell>
        </row>
        <row r="67">
          <cell r="E67" t="str">
            <v>0934031747</v>
          </cell>
          <cell r="F67" t="str">
            <v>Huỳnh văn nghệ, P.Bửu Long,Biên Hòa,Đồng Nai</v>
          </cell>
          <cell r="G67" t="str">
            <v>Tư vấn điều trị viêm họng: Nhà thuốc cần lưu ý gì?</v>
          </cell>
          <cell r="H67">
            <v>43753.593518518515</v>
          </cell>
          <cell r="I67" t="str">
            <v>Đồng Nai</v>
          </cell>
          <cell r="J67" t="str">
            <v>A. Tho</v>
          </cell>
        </row>
        <row r="68">
          <cell r="E68" t="str">
            <v>0987074092</v>
          </cell>
          <cell r="F68" t="str">
            <v>266 Lê Thanh Nghị, P.Đồng Tâm,Hai Bà Trưng,Hà Nội</v>
          </cell>
          <cell r="G68" t="str">
            <v>Bài 1: Tư vấn điều trị viêm họng - Nhà thuốc cần lưu ý gì?</v>
          </cell>
          <cell r="H68">
            <v>43794.707511574074</v>
          </cell>
          <cell r="I68" t="str">
            <v>HN</v>
          </cell>
          <cell r="J68" t="str">
            <v>C. Quy</v>
          </cell>
        </row>
        <row r="69">
          <cell r="E69" t="str">
            <v>0907469232</v>
          </cell>
          <cell r="F69" t="str">
            <v>Cạnh 335B|1,KV 4,, P.An Khánh,Ninh Kiều,Cần Thơ</v>
          </cell>
          <cell r="G69" t="str">
            <v>Bài 1: Tư vấn điều trị viêm họng - Nhà thuốc cần lưu ý gì?</v>
          </cell>
          <cell r="H69">
            <v>43773.454340277778</v>
          </cell>
          <cell r="I69" t="str">
            <v>Cần Thơ</v>
          </cell>
          <cell r="J69" t="str">
            <v>A. Tho</v>
          </cell>
        </row>
        <row r="70">
          <cell r="E70" t="str">
            <v>0972116984</v>
          </cell>
          <cell r="F70" t="str">
            <v>184 ngo quyen, P.Tân An,Buôn Ma Thuột,Đắk Lắk</v>
          </cell>
          <cell r="G70" t="str">
            <v>Bài 1: Tư vấn điều trị viêm họng - Nhà thuốc cần lưu ý gì?</v>
          </cell>
          <cell r="H70">
            <v>43762.444849537038</v>
          </cell>
          <cell r="I70" t="str">
            <v>Đăk Lăk</v>
          </cell>
          <cell r="J70" t="str">
            <v>A. Tho</v>
          </cell>
        </row>
        <row r="71">
          <cell r="E71" t="str">
            <v>0939650407</v>
          </cell>
          <cell r="F71" t="str">
            <v>632 đường 30/4, P.Hưng Lợi,Ninh Kiều,Cần Thơ</v>
          </cell>
          <cell r="G71" t="str">
            <v>Bài 1: Tư vấn điều trị viêm họng - Nhà thuốc cần lưu ý gì?</v>
          </cell>
          <cell r="H71">
            <v>43817.520266203705</v>
          </cell>
          <cell r="I71" t="str">
            <v>Cần Thơ</v>
          </cell>
          <cell r="J71" t="str">
            <v>A. Tho</v>
          </cell>
        </row>
        <row r="72">
          <cell r="E72" t="str">
            <v>0913711611</v>
          </cell>
          <cell r="F72" t="str">
            <v>Kios A7, P.Tiên Cát,Việt Trì,Phú Thọ</v>
          </cell>
          <cell r="G72" t="str">
            <v>Bài 1: Tư vấn điều trị viêm họng - Nhà thuốc cần lưu ý gì?</v>
          </cell>
          <cell r="H72">
            <v>43795.429236111115</v>
          </cell>
          <cell r="I72" t="str">
            <v>Phú Thọ</v>
          </cell>
          <cell r="J72" t="str">
            <v>A. Tuan</v>
          </cell>
        </row>
        <row r="73">
          <cell r="E73" t="str">
            <v>0903189079</v>
          </cell>
          <cell r="F73" t="str">
            <v>97T Trần Văn Đang, P.09,Quận 3,Hồ Chí Minh</v>
          </cell>
          <cell r="G73" t="str">
            <v>Bài 1: Tư vấn điều trị viêm họng - Nhà thuốc cần lưu ý gì?</v>
          </cell>
          <cell r="H73">
            <v>43790.673275462963</v>
          </cell>
          <cell r="I73" t="str">
            <v>HCM</v>
          </cell>
          <cell r="J73" t="str">
            <v>A. Tri</v>
          </cell>
        </row>
        <row r="74">
          <cell r="E74" t="str">
            <v>0839192727</v>
          </cell>
          <cell r="F74" t="str">
            <v>254 phan chu trinh, P.Tân Lợi,Buôn Ma Thuột,Đắk Lắk</v>
          </cell>
          <cell r="G74" t="str">
            <v>Bài 1: Tư vấn điều trị viêm họng - Nhà thuốc cần lưu ý gì?</v>
          </cell>
          <cell r="H74">
            <v>43762.386342592596</v>
          </cell>
          <cell r="I74" t="str">
            <v>Đăk Lăk</v>
          </cell>
          <cell r="J74" t="str">
            <v>A. Tho</v>
          </cell>
        </row>
        <row r="75">
          <cell r="E75" t="str">
            <v>0946062900</v>
          </cell>
          <cell r="F75" t="str">
            <v>To 32 khu cau xeo, P.Long Thành,Long Thành,Đồng Nai</v>
          </cell>
          <cell r="G75" t="str">
            <v>Bài 1: Tư vấn điều trị viêm họng - Nhà thuốc cần lưu ý gì?</v>
          </cell>
          <cell r="H75">
            <v>43774.523252314815</v>
          </cell>
          <cell r="I75" t="str">
            <v>Đồng Nai</v>
          </cell>
          <cell r="J75" t="str">
            <v>A. Tho</v>
          </cell>
        </row>
        <row r="76">
          <cell r="E76" t="str">
            <v>0938317098</v>
          </cell>
          <cell r="F76" t="str">
            <v>B21 duong D4, kdc Him Lam, P.Tân Hưng,Quận 7,Hồ Chí Minh</v>
          </cell>
          <cell r="G76" t="str">
            <v>Bài 1: Tư vấn điều trị viêm họng - Nhà thuốc cần lưu ý gì?</v>
          </cell>
          <cell r="H76">
            <v>43755.418703703705</v>
          </cell>
          <cell r="I76" t="str">
            <v>HCM</v>
          </cell>
          <cell r="J76" t="str">
            <v>A. Tri</v>
          </cell>
        </row>
        <row r="77">
          <cell r="E77" t="str">
            <v>0906930651</v>
          </cell>
          <cell r="F77" t="str">
            <v>134 Cách Mạng Tháng Tám, P.Bình Thủy,Bình Thuỷ,Cần Thơ</v>
          </cell>
          <cell r="G77" t="str">
            <v>Bài 1: Tư vấn điều trị viêm họng - Nhà thuốc cần lưu ý gì?</v>
          </cell>
          <cell r="H77">
            <v>43769.443414351852</v>
          </cell>
          <cell r="I77" t="str">
            <v>Cần Thơ</v>
          </cell>
          <cell r="J77" t="str">
            <v>A. Tho</v>
          </cell>
        </row>
        <row r="78">
          <cell r="E78" t="str">
            <v>0983916599</v>
          </cell>
          <cell r="F78" t="str">
            <v>71 vũ trọng phụng, P.Thanh Xuân Trung,Thanh Xuân,Hà Nội</v>
          </cell>
          <cell r="G78" t="str">
            <v>Bài 1: Tư vấn điều trị viêm họng - Nhà thuốc cần lưu ý gì?</v>
          </cell>
          <cell r="H78">
            <v>43788.632870370369</v>
          </cell>
          <cell r="I78" t="str">
            <v>HN</v>
          </cell>
          <cell r="J78" t="str">
            <v>C. Quy</v>
          </cell>
        </row>
        <row r="79">
          <cell r="E79" t="str">
            <v>0945597862</v>
          </cell>
          <cell r="F79" t="str">
            <v>213 Nguyễn Văn Cừ, P.An Bình,Ninh Kiều,Cần Thơ</v>
          </cell>
          <cell r="G79" t="str">
            <v>Bài 1: Tư vấn điều trị viêm họng - Nhà thuốc cần lưu ý gì?</v>
          </cell>
          <cell r="H79">
            <v>43775.475381944445</v>
          </cell>
          <cell r="I79" t="str">
            <v>Cần Thơ</v>
          </cell>
          <cell r="J79" t="str">
            <v>A. Tho</v>
          </cell>
        </row>
        <row r="80">
          <cell r="E80" t="str">
            <v>0773455216</v>
          </cell>
          <cell r="F80" t="str">
            <v>399 Hai Bà Trưng - P.8, P.Vĩnh Hoà,Nha Trang,Khánh Hòa</v>
          </cell>
          <cell r="G80" t="str">
            <v>Tư vấn điều trị viêm họng: Nhà thuốc cần lưu ý gì?</v>
          </cell>
          <cell r="H80">
            <v>43749.744131944448</v>
          </cell>
          <cell r="I80" t="str">
            <v>Khánh Hòa</v>
          </cell>
          <cell r="J80" t="str">
            <v>A. Tho</v>
          </cell>
        </row>
        <row r="81">
          <cell r="E81" t="str">
            <v>0377446330</v>
          </cell>
          <cell r="F81" t="str">
            <v>65 Mã Mây, P.Hàng Buồm,Hoàn Kiếm,Hà Nội</v>
          </cell>
          <cell r="G81" t="str">
            <v>Bài 1: Tư vấn điều trị viêm họng - Nhà thuốc cần lưu ý gì?</v>
          </cell>
          <cell r="H81">
            <v>43803.396770833337</v>
          </cell>
          <cell r="I81" t="str">
            <v>HN</v>
          </cell>
          <cell r="J81" t="str">
            <v>C. Quy</v>
          </cell>
        </row>
        <row r="82">
          <cell r="E82" t="str">
            <v>0961729669</v>
          </cell>
          <cell r="F82" t="str">
            <v>Số 6 Trương Định, P.Trương Định,Hai Bà Trưng,Hà Nội</v>
          </cell>
          <cell r="G82" t="str">
            <v>Bài 1: Tư vấn điều trị viêm họng - Nhà thuốc cần lưu ý gì?</v>
          </cell>
          <cell r="H82">
            <v>43774.386840277781</v>
          </cell>
          <cell r="I82" t="str">
            <v>HN</v>
          </cell>
          <cell r="J82" t="str">
            <v>C. Quy</v>
          </cell>
        </row>
        <row r="83">
          <cell r="E83" t="str">
            <v>093566800</v>
          </cell>
          <cell r="F83" t="str">
            <v>19A đường 2/4, P.Vĩnh Phước,Nha Trang,Khánh Hòa</v>
          </cell>
          <cell r="G83" t="str">
            <v>Bài 1: Tư vấn điều trị viêm họng - Nhà thuốc cần lưu ý gì?</v>
          </cell>
          <cell r="H83">
            <v>43774.45516203704</v>
          </cell>
          <cell r="I83" t="str">
            <v>Khánh Hòa</v>
          </cell>
          <cell r="J83" t="str">
            <v>A. Tho</v>
          </cell>
        </row>
        <row r="84">
          <cell r="E84" t="str">
            <v>0911386688</v>
          </cell>
          <cell r="F84" t="str">
            <v>77 Nguyễn Hữu Huân, P.Lý Thái Tổ,Hoàn Kiếm,Hà Nội</v>
          </cell>
          <cell r="G84" t="str">
            <v>Bài 1: Tư vấn điều trị viêm họng - Nhà thuốc cần lưu ý gì?</v>
          </cell>
          <cell r="H84">
            <v>43803.412129629629</v>
          </cell>
          <cell r="I84" t="str">
            <v>HN</v>
          </cell>
          <cell r="J84" t="str">
            <v>C. Quy</v>
          </cell>
        </row>
        <row r="85">
          <cell r="E85" t="str">
            <v>0906870767</v>
          </cell>
          <cell r="F85" t="str">
            <v>265/31 Phạm Ngũ Lão. , P.Phạm Ngũ Lão,Quận 1,Hồ Chí Minh</v>
          </cell>
          <cell r="G85" t="str">
            <v>Tư vấn điều trị viêm họng: Nhà thuốc cần lưu ý gì?</v>
          </cell>
          <cell r="H85">
            <v>43753.586157407408</v>
          </cell>
          <cell r="I85" t="str">
            <v>HCM</v>
          </cell>
          <cell r="J85" t="str">
            <v>A. Tri</v>
          </cell>
        </row>
        <row r="86">
          <cell r="E86" t="str">
            <v>0903629968</v>
          </cell>
          <cell r="F86" t="str">
            <v>91 duong 18 phuoc binh quan 9, P.Phước Bình,Quận 9,Hồ Chí Minh</v>
          </cell>
          <cell r="G86" t="str">
            <v>Bài 1: Tư vấn điều trị viêm họng - Nhà thuốc cần lưu ý gì?</v>
          </cell>
          <cell r="H86">
            <v>43796.436944444446</v>
          </cell>
          <cell r="I86" t="str">
            <v>HCM</v>
          </cell>
          <cell r="J86" t="str">
            <v>A. Tri</v>
          </cell>
        </row>
        <row r="87">
          <cell r="E87" t="str">
            <v>0905081777</v>
          </cell>
          <cell r="F87" t="str">
            <v>CAY SO 5, VINH THANH, NHA TRANG, P.Vĩnh Thạnh,Nha Trang,Khánh Hòa</v>
          </cell>
          <cell r="G87" t="str">
            <v>Bài 1: Tư vấn điều trị viêm họng - Nhà thuốc cần lưu ý gì?</v>
          </cell>
          <cell r="H87">
            <v>43773.633067129631</v>
          </cell>
          <cell r="I87" t="str">
            <v>Khánh Hòa</v>
          </cell>
          <cell r="J87" t="str">
            <v>A. Tho</v>
          </cell>
        </row>
        <row r="88">
          <cell r="E88" t="str">
            <v>0973378880</v>
          </cell>
          <cell r="F88" t="str">
            <v>14 Trần Nhân Tông, P.Nguyễn Du,Hai Bà Trưng,Hà Nội</v>
          </cell>
          <cell r="G88" t="str">
            <v>Bài 1: Tư vấn điều trị viêm họng - Nhà thuốc cần lưu ý gì?</v>
          </cell>
          <cell r="H88">
            <v>43773.582152777781</v>
          </cell>
          <cell r="I88" t="str">
            <v>HN</v>
          </cell>
          <cell r="J88" t="str">
            <v>C. Quy</v>
          </cell>
        </row>
        <row r="89">
          <cell r="E89" t="str">
            <v>0941600819</v>
          </cell>
          <cell r="F89" t="str">
            <v>152-154 đường B21, Khu dân cư 91B, An Khánh, Ninh Kiều, thành phố Cần Thơ, P.An Khánh,Ninh Kiều,Cần Thơ</v>
          </cell>
          <cell r="G89" t="str">
            <v>Bài 1: Tư vấn điều trị viêm họng - Nhà thuốc cần lưu ý gì?</v>
          </cell>
          <cell r="H89">
            <v>43818.320821759262</v>
          </cell>
          <cell r="I89" t="str">
            <v>Cần Thơ</v>
          </cell>
          <cell r="J89" t="str">
            <v>A. Tho</v>
          </cell>
        </row>
        <row r="90">
          <cell r="E90" t="str">
            <v>0918969893</v>
          </cell>
          <cell r="F90" t="str">
            <v>169 Mai Hắc Đế, P.Lê Đại Hành,Hai Bà Trưng,Hà Nội</v>
          </cell>
          <cell r="G90" t="str">
            <v>Bài 1: Tư vấn điều trị viêm họng - Nhà thuốc cần lưu ý gì?</v>
          </cell>
          <cell r="H90">
            <v>43775.593923611108</v>
          </cell>
          <cell r="I90" t="str">
            <v>HN</v>
          </cell>
          <cell r="J90" t="str">
            <v>C. Quy</v>
          </cell>
        </row>
        <row r="91">
          <cell r="E91" t="str">
            <v>0913111705</v>
          </cell>
          <cell r="F91" t="str">
            <v>187 VO THANH TRANG, P.02,Tân Bình,Hồ Chí Minh</v>
          </cell>
          <cell r="G91" t="str">
            <v>Bài 1: Tư vấn điều trị viêm họng - Nhà thuốc cần lưu ý gì?</v>
          </cell>
          <cell r="H91">
            <v>43777.450682870367</v>
          </cell>
          <cell r="I91" t="str">
            <v>HCM</v>
          </cell>
          <cell r="J91" t="str">
            <v>A. Tri</v>
          </cell>
        </row>
        <row r="92">
          <cell r="E92" t="str">
            <v>0977166995</v>
          </cell>
          <cell r="F92" t="str">
            <v>44 tuệ tĩnh, P.Hưng Dũng,Vinh,Nghệ An</v>
          </cell>
          <cell r="G92" t="str">
            <v>Bài 1: Tư vấn điều trị viêm họng - Nhà thuốc cần lưu ý gì?</v>
          </cell>
          <cell r="H92">
            <v>43817.475636574076</v>
          </cell>
          <cell r="I92" t="str">
            <v>Nghệ An</v>
          </cell>
          <cell r="J92" t="str">
            <v>A. Tuan</v>
          </cell>
        </row>
        <row r="93">
          <cell r="E93" t="str">
            <v>0902029096</v>
          </cell>
          <cell r="F93" t="str">
            <v>317A TO 10- NGUYEN VAN LINH- P. AN KHANH, P.An Khánh,Ninh Kiều,Cần Thơ</v>
          </cell>
          <cell r="G93" t="str">
            <v>Bài 1: Tư vấn điều trị viêm họng - Nhà thuốc cần lưu ý gì?</v>
          </cell>
          <cell r="H93">
            <v>43766.421736111108</v>
          </cell>
          <cell r="I93" t="str">
            <v>Cần Thơ</v>
          </cell>
          <cell r="J93" t="str">
            <v>A. Tho</v>
          </cell>
        </row>
        <row r="94">
          <cell r="E94" t="str">
            <v>0906726308</v>
          </cell>
          <cell r="F94" t="str">
            <v>98/12c vo thi sau , P.Quyết Thắng,Biên Hòa,Đồng Nai</v>
          </cell>
          <cell r="G94" t="str">
            <v>Bài 1: Tư vấn điều trị viêm họng - Nhà thuốc cần lưu ý gì?</v>
          </cell>
          <cell r="H94">
            <v>43774.418379629627</v>
          </cell>
          <cell r="I94" t="str">
            <v>Đồng Nai</v>
          </cell>
          <cell r="J94" t="str">
            <v>A. Tho</v>
          </cell>
        </row>
        <row r="95">
          <cell r="E95" t="str">
            <v>0987710394</v>
          </cell>
          <cell r="F95" t="str">
            <v>Số 34 phố dương quảng hàm, P.Quan Hoa,Cầu Giấy,Hà Nội</v>
          </cell>
          <cell r="G95" t="str">
            <v>Bài 1: Tư vấn điều trị viêm họng - Nhà thuốc cần lưu ý gì?</v>
          </cell>
          <cell r="H95">
            <v>43818.891099537039</v>
          </cell>
          <cell r="I95" t="str">
            <v>HN</v>
          </cell>
          <cell r="J95" t="str">
            <v>C. Quy</v>
          </cell>
        </row>
        <row r="96">
          <cell r="E96" t="str">
            <v>0376121943</v>
          </cell>
          <cell r="F96" t="str">
            <v>204 hồng mai, P.Quỳnh Lôi,Hai Bà Trưng,Hà Nội</v>
          </cell>
          <cell r="G96" t="str">
            <v>Bài 1: Tư vấn điều trị viêm họng - Nhà thuốc cần lưu ý gì?</v>
          </cell>
          <cell r="H96">
            <v>43774.425439814811</v>
          </cell>
          <cell r="I96" t="str">
            <v>HN</v>
          </cell>
          <cell r="J96" t="str">
            <v>C. Quy</v>
          </cell>
        </row>
        <row r="97">
          <cell r="E97" t="str">
            <v>0962527542</v>
          </cell>
          <cell r="F97" t="str">
            <v>137 Trần Đình Xu, P Nguyễn Cư Trinh, P.Đống Mác,Hai Bà Trưng,Hà Nội</v>
          </cell>
          <cell r="G97" t="str">
            <v>Bài 1: Tư vấn điều trị viêm họng - Nhà thuốc cần lưu ý gì?</v>
          </cell>
          <cell r="H97">
            <v>43770.610474537039</v>
          </cell>
          <cell r="I97" t="str">
            <v>HN</v>
          </cell>
          <cell r="J97" t="str">
            <v>C. Quy</v>
          </cell>
        </row>
        <row r="98">
          <cell r="E98" t="str">
            <v>0943035757</v>
          </cell>
          <cell r="F98" t="str">
            <v>208 ymoan, P.Tân Lợi,Buôn Ma Thuột,Đắk Lắk</v>
          </cell>
          <cell r="G98" t="str">
            <v>Bài 1: Tư vấn điều trị viêm họng - Nhà thuốc cần lưu ý gì?</v>
          </cell>
          <cell r="H98">
            <v>43762.361192129632</v>
          </cell>
          <cell r="I98" t="str">
            <v>Đăk Lăk</v>
          </cell>
          <cell r="J98" t="str">
            <v>A. Tho</v>
          </cell>
        </row>
        <row r="99">
          <cell r="E99" t="str">
            <v>0984333394</v>
          </cell>
          <cell r="F99" t="str">
            <v>807, Hà Hoàng Hổ, P.Đông Xuyên,Long Xuyên,An Giang</v>
          </cell>
          <cell r="G99" t="str">
            <v>Bài 1: Tư vấn điều trị viêm họng - Nhà thuốc cần lưu ý gì?</v>
          </cell>
          <cell r="H99">
            <v>43773.830543981479</v>
          </cell>
          <cell r="I99" t="str">
            <v>An Giang</v>
          </cell>
          <cell r="J99" t="str">
            <v>A. Tho</v>
          </cell>
        </row>
        <row r="100">
          <cell r="E100" t="str">
            <v>02623812452</v>
          </cell>
          <cell r="F100" t="str">
            <v>01 lý thường kiệt, P.Tân Tiến,Buôn Ma Thuột,Đắk Lắk</v>
          </cell>
          <cell r="G100" t="str">
            <v>Bài 1: Tư vấn điều trị viêm họng - Nhà thuốc cần lưu ý gì?</v>
          </cell>
          <cell r="H100">
            <v>43762.644212962965</v>
          </cell>
          <cell r="I100" t="str">
            <v>Đăk Lăk</v>
          </cell>
          <cell r="J100" t="str">
            <v>A. Tho</v>
          </cell>
        </row>
        <row r="101">
          <cell r="E101" t="str">
            <v>0855005599</v>
          </cell>
          <cell r="F101" t="str">
            <v>Thành thái, P.Bình Khánh,Long Xuyên,An Giang</v>
          </cell>
          <cell r="G101" t="str">
            <v>Bài 1: Tư vấn điều trị viêm họng - Nhà thuốc cần lưu ý gì?</v>
          </cell>
          <cell r="H101">
            <v>43784.673935185187</v>
          </cell>
          <cell r="I101" t="str">
            <v>An Giang</v>
          </cell>
          <cell r="J101" t="str">
            <v>A. Tho</v>
          </cell>
        </row>
        <row r="102">
          <cell r="E102" t="str">
            <v>0911276628</v>
          </cell>
          <cell r="F102" t="str">
            <v>319 ha huy tap, P.Tân Lợi,Buôn Ma Thuột,Đắk Lắk</v>
          </cell>
          <cell r="G102" t="str">
            <v>Bài 1: Tư vấn điều trị viêm họng - Nhà thuốc cần lưu ý gì?</v>
          </cell>
          <cell r="H102">
            <v>43762.456504629627</v>
          </cell>
          <cell r="I102" t="str">
            <v>Đăk Lăk</v>
          </cell>
          <cell r="J102" t="str">
            <v>A. Tho</v>
          </cell>
        </row>
        <row r="103">
          <cell r="E103" t="str">
            <v>0914467890</v>
          </cell>
          <cell r="F103" t="str">
            <v>131 hoang dieu, P.Thống Nhất,Buôn Ma Thuột,Đắk Lắk</v>
          </cell>
          <cell r="G103" t="str">
            <v>Bài 1: Tư vấn điều trị viêm họng - Nhà thuốc cần lưu ý gì?</v>
          </cell>
          <cell r="H103">
            <v>43762.595057870371</v>
          </cell>
          <cell r="I103" t="str">
            <v>Đăk Lăk</v>
          </cell>
          <cell r="J103" t="str">
            <v>A. Tho</v>
          </cell>
        </row>
        <row r="104">
          <cell r="E104" t="str">
            <v>0962448837</v>
          </cell>
          <cell r="F104" t="str">
            <v>Tầng 1 số 116 tập thể Bệnh Viện  , P.Mai Dịch,Cầu Giấy,Hà Nội</v>
          </cell>
          <cell r="G104" t="str">
            <v>Bài 1: Tư vấn điều trị viêm họng - Nhà thuốc cần lưu ý gì?</v>
          </cell>
          <cell r="H104">
            <v>43791.419629629629</v>
          </cell>
          <cell r="I104" t="str">
            <v>HN</v>
          </cell>
          <cell r="J104" t="str">
            <v>C. Quy</v>
          </cell>
        </row>
        <row r="105">
          <cell r="E105" t="str">
            <v>0847643906</v>
          </cell>
          <cell r="F105" t="str">
            <v>77 Hưng Đạo Vương, P.Quyết Thắng,Biên Hòa,Đồng Nai</v>
          </cell>
          <cell r="G105" t="str">
            <v>Bài 1: Tư vấn điều trị viêm họng - Nhà thuốc cần lưu ý gì?</v>
          </cell>
          <cell r="H105">
            <v>43773.42355324074</v>
          </cell>
          <cell r="I105" t="str">
            <v>Đồng Nai</v>
          </cell>
          <cell r="J105" t="str">
            <v>A. Tho</v>
          </cell>
        </row>
        <row r="106">
          <cell r="E106" t="str">
            <v>0937914024</v>
          </cell>
          <cell r="F106" t="str">
            <v>1050 lê đức thọ , P.13,Gò Vấp,Hồ Chí Minh</v>
          </cell>
          <cell r="G106" t="str">
            <v>Bài 1: Tư vấn điều trị viêm họng - Nhà thuốc cần lưu ý gì?</v>
          </cell>
          <cell r="H106">
            <v>43792.445393518516</v>
          </cell>
          <cell r="I106" t="str">
            <v>HCM</v>
          </cell>
          <cell r="J106" t="str">
            <v>A. Tri</v>
          </cell>
        </row>
        <row r="107">
          <cell r="E107" t="str">
            <v>0915559667</v>
          </cell>
          <cell r="F107" t="str">
            <v>110,Tổ 9,kp 8, P.Vĩnh An,Vĩnh Cửu,Đồng Nai</v>
          </cell>
          <cell r="G107" t="str">
            <v>Bài 1: Tư vấn điều trị viêm họng - Nhà thuốc cần lưu ý gì?</v>
          </cell>
          <cell r="H107">
            <v>43776.390416666669</v>
          </cell>
          <cell r="I107" t="str">
            <v>Đồng Nai</v>
          </cell>
          <cell r="J107" t="str">
            <v>A. Tho</v>
          </cell>
        </row>
        <row r="108">
          <cell r="E108" t="str">
            <v>0399667376</v>
          </cell>
          <cell r="F108" t="str">
            <v>51, P.02,Quận 11,Hồ Chí Minh</v>
          </cell>
          <cell r="G108" t="str">
            <v>Bài 1: Tư vấn điều trị viêm họng - Nhà thuốc cần lưu ý gì?</v>
          </cell>
          <cell r="H108">
            <v>43790.784328703703</v>
          </cell>
          <cell r="I108" t="str">
            <v>HCM</v>
          </cell>
          <cell r="J108" t="str">
            <v>A. Tri</v>
          </cell>
        </row>
        <row r="109">
          <cell r="E109" t="str">
            <v>0988191992</v>
          </cell>
          <cell r="F109" t="str">
            <v>520/14, Đông Hưng, Đông Xuyên, Tp. Long xuyên, An Giang, P.Đông Xuyên,Long Xuyên,An Giang</v>
          </cell>
          <cell r="G109" t="str">
            <v>Bài 1: Tư vấn điều trị viêm họng - Nhà thuốc cần lưu ý gì?</v>
          </cell>
          <cell r="H109">
            <v>43774.396770833337</v>
          </cell>
          <cell r="I109" t="str">
            <v>An Giang</v>
          </cell>
          <cell r="J109" t="str">
            <v>A. Tho</v>
          </cell>
        </row>
        <row r="110">
          <cell r="E110" t="str">
            <v>0904607465</v>
          </cell>
          <cell r="F110" t="str">
            <v>36, P.Vân Canh,Hoài Đức,Hà Nội</v>
          </cell>
          <cell r="G110" t="str">
            <v>Bài 1: Tư vấn điều trị viêm họng - Nhà thuốc cần lưu ý gì?</v>
          </cell>
          <cell r="H110">
            <v>43758.32234953704</v>
          </cell>
          <cell r="I110" t="str">
            <v>HN</v>
          </cell>
          <cell r="J110" t="str">
            <v>C. Quy</v>
          </cell>
        </row>
        <row r="111">
          <cell r="E111" t="str">
            <v>0985733759</v>
          </cell>
          <cell r="F111" t="str">
            <v>169 Hồng mai, P.Quỳnh Lôi,Hai Bà Trưng,Hà Nội</v>
          </cell>
          <cell r="G111" t="str">
            <v>Bài 1: Tư vấn điều trị viêm họng - Nhà thuốc cần lưu ý gì?</v>
          </cell>
          <cell r="H111">
            <v>43774.408275462964</v>
          </cell>
          <cell r="I111" t="str">
            <v>HN</v>
          </cell>
          <cell r="J111" t="str">
            <v>C. Quy</v>
          </cell>
        </row>
        <row r="112">
          <cell r="E112" t="str">
            <v>0938748038</v>
          </cell>
          <cell r="F112" t="str">
            <v>104 y jut, P.Thắng Lợi,Buôn Ma Thuột,Đắk Lắk</v>
          </cell>
          <cell r="G112" t="str">
            <v>Bài 1: Tư vấn điều trị viêm họng - Nhà thuốc cần lưu ý gì?</v>
          </cell>
          <cell r="H112">
            <v>43762.619201388887</v>
          </cell>
          <cell r="I112" t="str">
            <v>Đăk Lăk</v>
          </cell>
          <cell r="J112" t="str">
            <v>A. Tho</v>
          </cell>
        </row>
        <row r="113">
          <cell r="E113" t="str">
            <v>0943969515</v>
          </cell>
          <cell r="F113" t="str">
            <v>19, P.Văn Miếu,Đống Đa,Hà Nội</v>
          </cell>
          <cell r="G113" t="str">
            <v>Tư vấn điều trị viêm họng: Nhà thuốc cần lưu ý gì?</v>
          </cell>
          <cell r="H113">
            <v>43753.589097222219</v>
          </cell>
          <cell r="I113" t="str">
            <v>HN</v>
          </cell>
          <cell r="J113" t="str">
            <v>C. Quy</v>
          </cell>
        </row>
        <row r="114">
          <cell r="E114" t="str">
            <v>0939434998</v>
          </cell>
          <cell r="F114" t="str">
            <v>24/14 Trần Việt Châu, P.An Hòa,Ninh Kiều,Cần Thơ</v>
          </cell>
          <cell r="G114" t="str">
            <v>Bài 1: Tư vấn điều trị viêm họng - Nhà thuốc cần lưu ý gì?</v>
          </cell>
          <cell r="H114">
            <v>43773.397986111115</v>
          </cell>
          <cell r="I114" t="str">
            <v>Cần Thơ</v>
          </cell>
          <cell r="J114" t="str">
            <v>A. Tho</v>
          </cell>
        </row>
        <row r="115">
          <cell r="E115" t="str">
            <v>0915484687</v>
          </cell>
          <cell r="F115" t="str">
            <v>Phạm Văn Thuận, P.Tam Hiệp,Biên Hòa,Đồng Nai</v>
          </cell>
          <cell r="G115" t="str">
            <v>Bài 1: Tư vấn điều trị viêm họng - Nhà thuốc cần lưu ý gì?</v>
          </cell>
          <cell r="H115">
            <v>43773.446053240739</v>
          </cell>
          <cell r="I115" t="str">
            <v>Đồng Nai</v>
          </cell>
          <cell r="J115" t="str">
            <v>A. Tho</v>
          </cell>
        </row>
        <row r="116">
          <cell r="E116" t="str">
            <v>0387758349</v>
          </cell>
          <cell r="F116" t="str">
            <v>tổ 6khu phố 1 phường long binh , P.Long Bình,Biên Hòa,Đồng Nai</v>
          </cell>
          <cell r="G116" t="str">
            <v>Bài 1: Tư vấn điều trị viêm họng - Nhà thuốc cần lưu ý gì?</v>
          </cell>
          <cell r="H116">
            <v>43773.474016203705</v>
          </cell>
          <cell r="I116" t="str">
            <v>Đồng Nai</v>
          </cell>
          <cell r="J116" t="str">
            <v>A. Tho</v>
          </cell>
        </row>
        <row r="117">
          <cell r="E117" t="str">
            <v>0907270670</v>
          </cell>
          <cell r="F117" t="str">
            <v>180 Nguyễn An Ninh, P.Tân An,Ninh Kiều,Cần Thơ</v>
          </cell>
          <cell r="G117" t="str">
            <v>Bài 1: Tư vấn điều trị viêm họng - Nhà thuốc cần lưu ý gì?</v>
          </cell>
          <cell r="H117">
            <v>43797.355578703704</v>
          </cell>
          <cell r="I117" t="str">
            <v>Cần Thơ</v>
          </cell>
          <cell r="J117" t="str">
            <v>A. Tho</v>
          </cell>
        </row>
        <row r="118">
          <cell r="E118" t="str">
            <v>0983611521</v>
          </cell>
          <cell r="F118" t="str">
            <v>Số 11, ngõ 239 ( số 7/127) đường lạc long quân, P.Bưởi,Tây Hồ,Hà Nội</v>
          </cell>
          <cell r="G118" t="str">
            <v>Bài 1: Tư vấn điều trị viêm họng - Nhà thuốc cần lưu ý gì?</v>
          </cell>
          <cell r="H118">
            <v>43787.46020833333</v>
          </cell>
          <cell r="I118" t="str">
            <v>HN</v>
          </cell>
          <cell r="J118" t="str">
            <v>C. Quy</v>
          </cell>
        </row>
        <row r="119">
          <cell r="E119" t="str">
            <v>0935668000</v>
          </cell>
          <cell r="F119" t="str">
            <v>19A đường 2/4, P.Vĩnh Phước,Nha Trang,Khánh Hòa</v>
          </cell>
          <cell r="G119" t="str">
            <v>Bài 1: Tư vấn điều trị viêm họng - Nhà thuốc cần lưu ý gì?</v>
          </cell>
          <cell r="H119">
            <v>43816.515381944446</v>
          </cell>
          <cell r="I119" t="str">
            <v>Khánh Hòa</v>
          </cell>
          <cell r="J119" t="str">
            <v>A. Tho</v>
          </cell>
        </row>
        <row r="120">
          <cell r="E120" t="str">
            <v>0908525189</v>
          </cell>
          <cell r="F120" t="str">
            <v>Q12- đường Nguyễn Hữu Hào, P.06,Quận 4,Hồ Chí Minh</v>
          </cell>
          <cell r="G120" t="str">
            <v>Bài 1: Tư vấn điều trị viêm họng - Nhà thuốc cần lưu ý gì?</v>
          </cell>
          <cell r="H120">
            <v>43783.410474537035</v>
          </cell>
          <cell r="I120" t="str">
            <v>HCM</v>
          </cell>
          <cell r="J120" t="str">
            <v>A. Tri</v>
          </cell>
        </row>
        <row r="121">
          <cell r="E121" t="str">
            <v>0912611187</v>
          </cell>
          <cell r="F121" t="str">
            <v>135 trần quốc hoàn, P.Dịch Vọng Hậu,Cầu Giấy,Hà Nội</v>
          </cell>
          <cell r="G121" t="str">
            <v>Bài 1: Tư vấn điều trị viêm họng - Nhà thuốc cần lưu ý gì?</v>
          </cell>
          <cell r="H121">
            <v>43784.84988425926</v>
          </cell>
          <cell r="I121" t="str">
            <v>HN</v>
          </cell>
          <cell r="J121" t="str">
            <v>C. Quy</v>
          </cell>
        </row>
        <row r="122">
          <cell r="E122" t="str">
            <v>0984504506</v>
          </cell>
          <cell r="F122" t="str">
            <v>12 Nguyễn Hiền, P.Văn Miếu,Đống Đa,Hà Nội</v>
          </cell>
          <cell r="G122" t="str">
            <v>Bài 1: Tư vấn điều trị viêm họng - Nhà thuốc cần lưu ý gì?</v>
          </cell>
          <cell r="H122">
            <v>43770.609722222223</v>
          </cell>
          <cell r="I122" t="str">
            <v>HN</v>
          </cell>
          <cell r="J122" t="str">
            <v>C. Quy</v>
          </cell>
        </row>
        <row r="123">
          <cell r="E123" t="str">
            <v>0349045003</v>
          </cell>
          <cell r="F123" t="str">
            <v>16 Đương sô 1 , P.Binh Hưng Hoà A,Bình Tân,Hồ Chí Minh</v>
          </cell>
          <cell r="G123" t="str">
            <v>Bài 1: Tư vấn điều trị viêm họng - Nhà thuốc cần lưu ý gì?</v>
          </cell>
          <cell r="H123">
            <v>43796.534108796295</v>
          </cell>
          <cell r="I123" t="str">
            <v>HCM</v>
          </cell>
          <cell r="J123" t="str">
            <v>A. Tri</v>
          </cell>
        </row>
        <row r="124">
          <cell r="E124" t="str">
            <v>0354858646</v>
          </cell>
          <cell r="F124" t="str">
            <v>491 HUYNH TAN PHAT, PHUONG TAN THUAN DONG, P.Tân Thuận Đông,Quận 7,Hồ Chí Minh</v>
          </cell>
          <cell r="G124" t="str">
            <v>Bài 1: Tư vấn điều trị viêm họng - Nhà thuốc cần lưu ý gì?</v>
          </cell>
          <cell r="H124">
            <v>43777.458877314813</v>
          </cell>
          <cell r="I124" t="str">
            <v>HCM</v>
          </cell>
          <cell r="J124" t="str">
            <v>A. Tri</v>
          </cell>
        </row>
        <row r="125">
          <cell r="E125" t="str">
            <v>0933455511</v>
          </cell>
          <cell r="F125" t="str">
            <v>10/3B khu phố 11, P.Tân Hòa,Biên Hòa,Đồng Nai</v>
          </cell>
          <cell r="G125" t="str">
            <v>Bài 1: Tư vấn điều trị viêm họng - Nhà thuốc cần lưu ý gì?</v>
          </cell>
          <cell r="H125">
            <v>43773.501550925925</v>
          </cell>
          <cell r="I125" t="str">
            <v>Đồng Nai</v>
          </cell>
          <cell r="J125" t="str">
            <v>A. Tho</v>
          </cell>
        </row>
        <row r="126">
          <cell r="E126" t="str">
            <v>0917016518</v>
          </cell>
          <cell r="F126" t="str">
            <v>84 Lê Lợi, P.Cái Khế,Ninh Kiều,Cần Thơ</v>
          </cell>
          <cell r="G126" t="str">
            <v>Bài 1: Tư vấn điều trị viêm họng - Nhà thuốc cần lưu ý gì?</v>
          </cell>
          <cell r="H126">
            <v>43773.524189814816</v>
          </cell>
          <cell r="I126" t="str">
            <v>Cần Thơ</v>
          </cell>
          <cell r="J126" t="str">
            <v>A. Tho</v>
          </cell>
        </row>
        <row r="127">
          <cell r="E127" t="str">
            <v>0986271937</v>
          </cell>
          <cell r="F127" t="str">
            <v>90 ly thuong kiet, P.Thắng Lợi,Buôn Ma Thuột,Đắk Lắk</v>
          </cell>
          <cell r="G127" t="str">
            <v>Bài 1: Tư vấn điều trị viêm họng - Nhà thuốc cần lưu ý gì?</v>
          </cell>
          <cell r="H127">
            <v>43762.654618055552</v>
          </cell>
          <cell r="I127" t="str">
            <v>Đăk Lăk</v>
          </cell>
          <cell r="J127" t="str">
            <v>A. Tho</v>
          </cell>
        </row>
        <row r="128">
          <cell r="E128" t="str">
            <v>0916542253</v>
          </cell>
          <cell r="F128" t="str">
            <v>23 hòn nghê, P.Vĩnh Ngọc,Nha Trang,Khánh Hòa</v>
          </cell>
          <cell r="G128" t="str">
            <v>Bài 1: Tư vấn điều trị viêm họng - Nhà thuốc cần lưu ý gì?</v>
          </cell>
          <cell r="H128">
            <v>43774.483796296299</v>
          </cell>
          <cell r="I128" t="str">
            <v>Khánh Hòa</v>
          </cell>
          <cell r="J128" t="str">
            <v>A. Tho</v>
          </cell>
        </row>
        <row r="129">
          <cell r="E129" t="str">
            <v>0903883366</v>
          </cell>
          <cell r="F129" t="str">
            <v>22, P.Cái Khế,Ninh Kiều,Cần Thơ</v>
          </cell>
          <cell r="G129" t="str">
            <v>Tư vấn điều trị viêm họng: Nhà thuốc cần lưu ý gì?</v>
          </cell>
          <cell r="H129">
            <v>43753.591157407405</v>
          </cell>
          <cell r="I129" t="str">
            <v>Cần Thơ</v>
          </cell>
          <cell r="J129" t="str">
            <v>A. Tho</v>
          </cell>
        </row>
        <row r="130">
          <cell r="E130" t="str">
            <v>0918585915</v>
          </cell>
          <cell r="F130" t="str">
            <v>số 3, Nguyễn thành Đồng, P.Trảng Dài,Biên Hòa,Đồng Nai</v>
          </cell>
          <cell r="G130" t="str">
            <v>Bài 1: Tư vấn điều trị viêm họng - Nhà thuốc cần lưu ý gì?</v>
          </cell>
          <cell r="H130">
            <v>43774.379016203704</v>
          </cell>
          <cell r="I130" t="str">
            <v>Đồng Nai</v>
          </cell>
          <cell r="J130" t="str">
            <v>A. Tho</v>
          </cell>
        </row>
        <row r="131">
          <cell r="E131" t="str">
            <v>0905798397</v>
          </cell>
          <cell r="F131" t="str">
            <v>319 ymoan, P.Tân Lập,Buôn Ma Thuột,Đắk Lắk</v>
          </cell>
          <cell r="G131" t="str">
            <v>Bài 1: Tư vấn điều trị viêm họng - Nhà thuốc cần lưu ý gì?</v>
          </cell>
          <cell r="H131">
            <v>43762.374386574076</v>
          </cell>
          <cell r="I131" t="str">
            <v>Đăk Lăk</v>
          </cell>
          <cell r="J131" t="str">
            <v>A. Tho</v>
          </cell>
        </row>
        <row r="132">
          <cell r="E132" t="str">
            <v>0909346986</v>
          </cell>
          <cell r="F132" t="str">
            <v>tổ 2 thôn phú trung, P.Vĩnh Thạnh,Nha Trang,Khánh Hòa</v>
          </cell>
          <cell r="G132" t="str">
            <v>Bài 1: Tư vấn điều trị viêm họng - Nhà thuốc cần lưu ý gì?</v>
          </cell>
          <cell r="H132">
            <v>43775.64503472222</v>
          </cell>
          <cell r="I132" t="str">
            <v>Khánh Hòa</v>
          </cell>
          <cell r="J132" t="str">
            <v>A. Tho</v>
          </cell>
        </row>
        <row r="133">
          <cell r="E133" t="str">
            <v>0865981065</v>
          </cell>
          <cell r="F133" t="str">
            <v>104 Bạch Mai, P.Cầu Dền,Hai Bà Trưng,Hà Nội</v>
          </cell>
          <cell r="G133" t="str">
            <v>Bài 1: Tư vấn điều trị viêm họng - Nhà thuốc cần lưu ý gì?</v>
          </cell>
          <cell r="H133">
            <v>43796.674780092595</v>
          </cell>
          <cell r="I133" t="str">
            <v>HN</v>
          </cell>
          <cell r="J133" t="str">
            <v>C. Quy</v>
          </cell>
        </row>
        <row r="134">
          <cell r="E134" t="str">
            <v>0973118980</v>
          </cell>
          <cell r="F134" t="str">
            <v>14 Trần Nhân Tông, P.Nguyễn Du,Hai Bà Trưng,Hà Nội</v>
          </cell>
          <cell r="G134" t="str">
            <v>Tư vấn điều trị viêm họng: Nhà thuốc cần lưu ý gì?</v>
          </cell>
          <cell r="H134">
            <v>43753.586562500001</v>
          </cell>
          <cell r="I134" t="str">
            <v>HN</v>
          </cell>
          <cell r="J134" t="str">
            <v>C. Quy</v>
          </cell>
        </row>
        <row r="135">
          <cell r="E135" t="str">
            <v>0937437748</v>
          </cell>
          <cell r="F135" t="str">
            <v>247 cmt 8, P.Hòa Bình,Biên Hòa,Đồng Nai</v>
          </cell>
          <cell r="G135" t="str">
            <v>Bài 1: Tư vấn điều trị viêm họng - Nhà thuốc cần lưu ý gì?</v>
          </cell>
          <cell r="H135">
            <v>43773.3593287037</v>
          </cell>
          <cell r="I135" t="str">
            <v>Đồng Nai</v>
          </cell>
          <cell r="J135" t="str">
            <v>A. Tho</v>
          </cell>
        </row>
        <row r="136">
          <cell r="E136" t="str">
            <v>0939461806</v>
          </cell>
          <cell r="F136" t="str">
            <v>21C Nguyễn Văn Linh, P.Hưng Lợi,Ninh Kiều,Cần Thơ</v>
          </cell>
          <cell r="G136" t="str">
            <v>Bài 1: Tư vấn điều trị viêm họng - Nhà thuốc cần lưu ý gì?</v>
          </cell>
          <cell r="H136">
            <v>43778.427129629628</v>
          </cell>
          <cell r="I136" t="str">
            <v>Cần Thơ</v>
          </cell>
          <cell r="J136" t="str">
            <v>A. Tho</v>
          </cell>
        </row>
        <row r="137">
          <cell r="E137" t="str">
            <v>0948015846</v>
          </cell>
          <cell r="F137" t="str">
            <v>325/A2 nguyen tri phương , P.Hiệp Hòa,Biên Hòa,Đồng Nai</v>
          </cell>
          <cell r="G137" t="str">
            <v>Bài 1: Tư vấn điều trị viêm họng - Nhà thuốc cần lưu ý gì?</v>
          </cell>
          <cell r="H137">
            <v>43774.36991898148</v>
          </cell>
          <cell r="I137" t="str">
            <v>Đồng Nai</v>
          </cell>
          <cell r="J137" t="str">
            <v>A. Tho</v>
          </cell>
        </row>
        <row r="138">
          <cell r="E138" t="str">
            <v>0969633703</v>
          </cell>
          <cell r="F138" t="str">
            <v>92 VUON CHUOI, P.4, P.04,Quận 3,Hồ Chí Minh</v>
          </cell>
          <cell r="G138" t="str">
            <v>Bài 1: Tư vấn điều trị viêm họng - Nhà thuốc cần lưu ý gì?</v>
          </cell>
          <cell r="H138">
            <v>43766.500555555554</v>
          </cell>
          <cell r="I138" t="str">
            <v>HCM</v>
          </cell>
          <cell r="J138" t="str">
            <v>A. Tri</v>
          </cell>
        </row>
        <row r="139">
          <cell r="E139" t="str">
            <v>0398267083</v>
          </cell>
          <cell r="F139" t="str">
            <v>23/44 Au Co, P.05,Bình Thạnh,Hồ Chí Minh</v>
          </cell>
          <cell r="G139" t="str">
            <v>Tư vấn điều trị viêm họng: Nhà thuốc cần lưu ý gì?</v>
          </cell>
          <cell r="H139">
            <v>43750.951701388891</v>
          </cell>
          <cell r="I139" t="str">
            <v>HCM</v>
          </cell>
          <cell r="J139" t="str">
            <v>A. Tri</v>
          </cell>
        </row>
        <row r="140">
          <cell r="E140" t="str">
            <v>0903330673</v>
          </cell>
          <cell r="F140" t="str">
            <v>79/22 Pham Viet Chanh, P.19,Bình Thạnh,Hồ Chí Minh</v>
          </cell>
          <cell r="G140" t="str">
            <v>Bài 1: Tư vấn điều trị viêm họng - Nhà thuốc cần lưu ý gì?</v>
          </cell>
          <cell r="H140">
            <v>43813.349930555552</v>
          </cell>
          <cell r="I140" t="str">
            <v>HCM</v>
          </cell>
          <cell r="J140" t="str">
            <v>A. Tri</v>
          </cell>
        </row>
        <row r="141">
          <cell r="E141" t="str">
            <v>0834600462</v>
          </cell>
          <cell r="F141" t="str">
            <v>tổ 5, kp 5, P.Long Bình,Biên Hòa,Đồng Nai</v>
          </cell>
          <cell r="G141" t="str">
            <v>Bài 1: Tư vấn điều trị viêm họng - Nhà thuốc cần lưu ý gì?</v>
          </cell>
          <cell r="H141">
            <v>43773.463379629633</v>
          </cell>
          <cell r="I141" t="str">
            <v>Đồng Nai</v>
          </cell>
          <cell r="J141" t="str">
            <v>A. Tho</v>
          </cell>
        </row>
        <row r="142">
          <cell r="E142" t="str">
            <v>098959059</v>
          </cell>
          <cell r="F142" t="str">
            <v>105 Duong 17, P.Tân Quy,Quận 7,Hồ Chí Minh</v>
          </cell>
          <cell r="G142" t="str">
            <v>Bài 1: Tư vấn điều trị viêm họng - Nhà thuốc cần lưu ý gì?</v>
          </cell>
          <cell r="H142">
            <v>43776.667013888888</v>
          </cell>
          <cell r="I142" t="str">
            <v>HCM</v>
          </cell>
          <cell r="J142" t="str">
            <v>A. Tri</v>
          </cell>
        </row>
        <row r="143">
          <cell r="E143" t="str">
            <v>02923821339</v>
          </cell>
          <cell r="F143" t="str">
            <v>2 DUONG 18- KHU NCDT- KHU VUC 4- P. AN KHANH, P.An Khánh,Ninh Kiều,Cần Thơ</v>
          </cell>
          <cell r="G143" t="str">
            <v>Bài 1: Tư vấn điều trị viêm họng - Nhà thuốc cần lưu ý gì?</v>
          </cell>
          <cell r="H143">
            <v>43773.422083333331</v>
          </cell>
          <cell r="I143" t="str">
            <v>Cần Thơ</v>
          </cell>
          <cell r="J143" t="str">
            <v>A. Tho</v>
          </cell>
        </row>
        <row r="144">
          <cell r="E144" t="str">
            <v>0903590308</v>
          </cell>
          <cell r="F144" t="str">
            <v>79 trần nhật duật, P.Phước Hòa,Nha Trang,Khánh Hòa</v>
          </cell>
          <cell r="G144" t="str">
            <v>Bài 1: Tư vấn điều trị viêm họng - Nhà thuốc cần lưu ý gì?</v>
          </cell>
          <cell r="H144">
            <v>43773.497442129628</v>
          </cell>
          <cell r="I144" t="str">
            <v>Khánh Hòa</v>
          </cell>
          <cell r="J144" t="str">
            <v>A. Tho</v>
          </cell>
        </row>
        <row r="145">
          <cell r="E145" t="str">
            <v>0906779084</v>
          </cell>
          <cell r="F145" t="str">
            <v>382 Nguyễn Văn Nghi, P.07,Gò Vấp,Hồ Chí Minh</v>
          </cell>
          <cell r="G145" t="str">
            <v>Bài 1: Tư vấn điều trị viêm họng - Nhà thuốc cần lưu ý gì?</v>
          </cell>
          <cell r="H145">
            <v>43775.867222222223</v>
          </cell>
          <cell r="I145" t="str">
            <v>HCM</v>
          </cell>
          <cell r="J145" t="str">
            <v>A. Tri</v>
          </cell>
        </row>
        <row r="146">
          <cell r="E146" t="str">
            <v>0986417770</v>
          </cell>
          <cell r="F146" t="str">
            <v>54/1 Hùng Vương, P.Thới Bình,Ninh Kiều,Cần Thơ</v>
          </cell>
          <cell r="G146" t="str">
            <v>Bài 1: Tư vấn điều trị viêm họng - Nhà thuốc cần lưu ý gì?</v>
          </cell>
          <cell r="H146">
            <v>43766.729189814818</v>
          </cell>
          <cell r="I146" t="str">
            <v>Cần Thơ</v>
          </cell>
          <cell r="J146" t="str">
            <v>A. Tho</v>
          </cell>
        </row>
        <row r="147">
          <cell r="E147" t="str">
            <v>0978512759</v>
          </cell>
          <cell r="F147" t="str">
            <v>duong a, P.Quán Toan, Hồng Bàng, Hải Phòng</v>
          </cell>
          <cell r="G147" t="str">
            <v>Bài 1: Tư vấn điều trị viêm họng - Nhà thuốc cần lưu ý gì?</v>
          </cell>
          <cell r="H147">
            <v>43754.650266203702</v>
          </cell>
          <cell r="I147" t="str">
            <v>Hải Phòng</v>
          </cell>
          <cell r="J147" t="str">
            <v>A. Tuan</v>
          </cell>
        </row>
        <row r="148">
          <cell r="E148" t="str">
            <v>0902645841</v>
          </cell>
          <cell r="F148" t="str">
            <v>86 Lê Hồng Phong, P.Trà Nóc,Bình Thuỷ,Cần Thơ</v>
          </cell>
          <cell r="G148" t="str">
            <v>Bài 1: Tư vấn điều trị viêm họng - Nhà thuốc cần lưu ý gì?</v>
          </cell>
          <cell r="H148">
            <v>43818.932685185187</v>
          </cell>
          <cell r="I148" t="str">
            <v>Cần Thơ</v>
          </cell>
          <cell r="J148" t="str">
            <v>A. Tho</v>
          </cell>
        </row>
        <row r="149">
          <cell r="E149" t="str">
            <v>0845126333</v>
          </cell>
          <cell r="F149" t="str">
            <v>158/34 Vĩnh Tuy, P.Vĩnh Tuy,Hai Bà Trưng,Hà Nội</v>
          </cell>
          <cell r="G149" t="str">
            <v>Bài 1: Tư vấn điều trị viêm họng - Nhà thuốc cần lưu ý gì?</v>
          </cell>
          <cell r="H149">
            <v>43777.433379629627</v>
          </cell>
          <cell r="I149" t="str">
            <v>HN</v>
          </cell>
          <cell r="J149" t="str">
            <v>C. Quy</v>
          </cell>
        </row>
        <row r="150">
          <cell r="E150" t="str">
            <v>0974591500</v>
          </cell>
          <cell r="F150" t="str">
            <v>212 trần quý cáp, P.Ninh Hòa,Ninh Hòa,Khánh Hòa</v>
          </cell>
          <cell r="G150" t="str">
            <v>Bài 1: Tư vấn điều trị viêm họng - Nhà thuốc cần lưu ý gì?</v>
          </cell>
          <cell r="H150">
            <v>43776.448923611111</v>
          </cell>
          <cell r="I150" t="str">
            <v>Khánh Hòa</v>
          </cell>
          <cell r="J150" t="str">
            <v>A. Tho</v>
          </cell>
        </row>
        <row r="151">
          <cell r="E151" t="str">
            <v>0988416744</v>
          </cell>
          <cell r="F151" t="str">
            <v>122 Lê Đức Thọ, P. 6,Gò Vấp,Hồ Chí Minh</v>
          </cell>
          <cell r="G151" t="str">
            <v>Bài 1: Tư vấn điều trị viêm họng - Nhà thuốc cần lưu ý gì?</v>
          </cell>
          <cell r="H151">
            <v>43770.493287037039</v>
          </cell>
          <cell r="I151" t="str">
            <v>HCM</v>
          </cell>
          <cell r="J151" t="str">
            <v>A. Tri</v>
          </cell>
        </row>
        <row r="152">
          <cell r="E152" t="str">
            <v>0914056363</v>
          </cell>
          <cell r="F152" t="str">
            <v>199 y moan, P.Tân Lợi,Buôn Ma Thuột,Đắk Lắk</v>
          </cell>
          <cell r="G152" t="str">
            <v>Bài 1: Tư vấn điều trị viêm họng - Nhà thuốc cần lưu ý gì?</v>
          </cell>
          <cell r="H152">
            <v>43771.472245370373</v>
          </cell>
          <cell r="I152" t="str">
            <v>Đăk Lăk</v>
          </cell>
          <cell r="J152" t="str">
            <v>A. Tho</v>
          </cell>
        </row>
        <row r="153">
          <cell r="E153" t="str">
            <v>0919980608</v>
          </cell>
          <cell r="F153" t="str">
            <v>68 cau giay, P.Quan Hoa,Cầu Giấy,Hà Nội</v>
          </cell>
          <cell r="G153" t="str">
            <v>Bài 1: Tư vấn điều trị viêm họng - Nhà thuốc cần lưu ý gì?</v>
          </cell>
          <cell r="H153">
            <v>43794.442685185182</v>
          </cell>
          <cell r="I153" t="str">
            <v>HN</v>
          </cell>
          <cell r="J153" t="str">
            <v>C. Quy</v>
          </cell>
        </row>
        <row r="154">
          <cell r="E154" t="str">
            <v>0329896636</v>
          </cell>
          <cell r="F154" t="str">
            <v>17 ,ap 3 xa Tam An , P.Long Thành,Long Thành,Đồng Nai</v>
          </cell>
          <cell r="G154" t="str">
            <v>Bài 1: Tư vấn điều trị viêm họng - Nhà thuốc cần lưu ý gì?</v>
          </cell>
          <cell r="H154">
            <v>43774.47084490741</v>
          </cell>
          <cell r="I154" t="str">
            <v>Đồng Nai</v>
          </cell>
          <cell r="J154" t="str">
            <v>A. Tho</v>
          </cell>
        </row>
        <row r="155">
          <cell r="E155" t="str">
            <v>0906726414</v>
          </cell>
          <cell r="F155" t="str">
            <v>24 D52, P.12,Tân Bình,Hồ Chí Minh</v>
          </cell>
          <cell r="G155" t="str">
            <v>Tư vấn điều trị viêm họng: Nhà thuốc cần lưu ý gì?</v>
          </cell>
          <cell r="H155">
            <v>43753.587731481479</v>
          </cell>
          <cell r="I155" t="str">
            <v>HCM</v>
          </cell>
          <cell r="J155" t="str">
            <v>A. Tri</v>
          </cell>
        </row>
        <row r="156">
          <cell r="E156" t="str">
            <v>0905414131</v>
          </cell>
          <cell r="F156" t="str">
            <v>133 dien bien phu, P.Thống Nhất,Buôn Ma Thuột,Đắk Lắk</v>
          </cell>
          <cell r="G156" t="str">
            <v>Bài 1: Tư vấn điều trị viêm họng - Nhà thuốc cần lưu ý gì?</v>
          </cell>
          <cell r="H156">
            <v>43762.602488425924</v>
          </cell>
          <cell r="I156" t="str">
            <v>Đăk Lăk</v>
          </cell>
          <cell r="J156" t="str">
            <v>A. Tho</v>
          </cell>
        </row>
        <row r="157">
          <cell r="E157" t="str">
            <v>0908561888</v>
          </cell>
          <cell r="F157" t="str">
            <v>39 Nguyên Huy Tu , P.Tân Định,Quận 1,Hồ Chí Minh</v>
          </cell>
          <cell r="G157" t="str">
            <v>Bài 1: Tư vấn điều trị viêm họng - Nhà thuốc cần lưu ý gì?</v>
          </cell>
          <cell r="H157">
            <v>43783.44195601852</v>
          </cell>
          <cell r="I157" t="str">
            <v>HCM</v>
          </cell>
          <cell r="J157" t="str">
            <v>A. Tri</v>
          </cell>
        </row>
        <row r="158">
          <cell r="E158" t="str">
            <v>0903654399</v>
          </cell>
          <cell r="F158" t="str">
            <v>51F nguyễn du, P.Bến Nghé,Quận 1,Hồ Chí Minh</v>
          </cell>
          <cell r="G158" t="str">
            <v>Bài 1: Tư vấn điều trị viêm họng - Nhà thuốc cần lưu ý gì?</v>
          </cell>
          <cell r="H158">
            <v>43798.955069444448</v>
          </cell>
          <cell r="I158" t="str">
            <v>HCM</v>
          </cell>
          <cell r="J158" t="str">
            <v>A. Tri</v>
          </cell>
        </row>
        <row r="159">
          <cell r="E159" t="str">
            <v>0973564949</v>
          </cell>
          <cell r="F159" t="str">
            <v>171 Bình Phú - P.11, P.14,Quận 6,Hồ Chí Minh</v>
          </cell>
          <cell r="G159" t="str">
            <v>Tư vấn điều trị viêm họng: Nhà thuốc cần lưu ý gì?</v>
          </cell>
          <cell r="H159">
            <v>43753.585752314815</v>
          </cell>
          <cell r="I159" t="str">
            <v>HCM</v>
          </cell>
          <cell r="J159" t="str">
            <v>A. Tri</v>
          </cell>
        </row>
        <row r="160">
          <cell r="E160" t="str">
            <v>0379451595</v>
          </cell>
          <cell r="F160" t="str">
            <v>Bà Hạt 436, P.08,Quận 10,Hồ Chí Minh</v>
          </cell>
          <cell r="G160" t="str">
            <v>Bài 1: Tư vấn điều trị viêm họng - Nhà thuốc cần lưu ý gì?</v>
          </cell>
          <cell r="H160">
            <v>43782.678136574075</v>
          </cell>
          <cell r="I160" t="str">
            <v>HCM</v>
          </cell>
          <cell r="J160" t="str">
            <v>A. Tri</v>
          </cell>
        </row>
        <row r="161">
          <cell r="E161" t="str">
            <v>0917715114</v>
          </cell>
          <cell r="F161" t="str">
            <v>02, P.Mỹ Bình,Long Xuyên,An Giang</v>
          </cell>
          <cell r="G161" t="str">
            <v>Tư vấn điều trị viêm họng: Nhà thuốc cần lưu ý gì?</v>
          </cell>
          <cell r="H161">
            <v>43753.590428240743</v>
          </cell>
          <cell r="I161" t="str">
            <v>An Giang</v>
          </cell>
          <cell r="J161" t="str">
            <v>A. Tho</v>
          </cell>
        </row>
        <row r="162">
          <cell r="E162" t="str">
            <v>0943754107</v>
          </cell>
          <cell r="F162" t="str">
            <v>291 lê văn sỹ tân bình, P.02, Tân Bình, Hồ Chí Minh</v>
          </cell>
          <cell r="G162" t="str">
            <v>Bài 1: Tư vấn điều trị viêm họng - Nhà thuốc cần lưu ý gì?</v>
          </cell>
          <cell r="H162">
            <v>43816.768530092595</v>
          </cell>
          <cell r="I162" t="str">
            <v>HCM</v>
          </cell>
          <cell r="J162" t="str">
            <v>A. Tri</v>
          </cell>
        </row>
        <row r="163">
          <cell r="E163" t="str">
            <v>0779719086</v>
          </cell>
          <cell r="F163" t="str">
            <v>Phạm Văn Thuận/90/1 khu phố 3, P.Tam Hiệp,Biên Hòa,Đồng Nai</v>
          </cell>
          <cell r="G163" t="str">
            <v>Bài 1: Tư vấn điều trị viêm họng - Nhà thuốc cần lưu ý gì?</v>
          </cell>
          <cell r="H163">
            <v>43775.551053240742</v>
          </cell>
          <cell r="I163" t="str">
            <v>Đồng Nai</v>
          </cell>
          <cell r="J163" t="str">
            <v>A. Tho</v>
          </cell>
        </row>
        <row r="164">
          <cell r="E164" t="str">
            <v>0949325551</v>
          </cell>
          <cell r="F164" t="str">
            <v>K3/242D Bui Huu Nghia BH-ĐN, P.Bửu Hòa,Biên Hòa,Đồng Nai</v>
          </cell>
          <cell r="G164" t="str">
            <v>Bài 1: Tư vấn điều trị viêm họng - Nhà thuốc cần lưu ý gì?</v>
          </cell>
          <cell r="H164">
            <v>43769.481493055559</v>
          </cell>
          <cell r="I164" t="str">
            <v>Đồng Nai</v>
          </cell>
          <cell r="J164" t="str">
            <v>A. Tho</v>
          </cell>
        </row>
        <row r="165">
          <cell r="E165" t="str">
            <v>0838447748</v>
          </cell>
          <cell r="F165" t="str">
            <v>484 bạch mai, P.Trương Định,Hai Bà Trưng,Hà Nội</v>
          </cell>
          <cell r="G165" t="str">
            <v>Bài 1: Tư vấn điều trị viêm họng - Nhà thuốc cần lưu ý gì?</v>
          </cell>
          <cell r="H165">
            <v>43796.466087962966</v>
          </cell>
          <cell r="I165" t="str">
            <v>HN</v>
          </cell>
          <cell r="J165" t="str">
            <v>C. Quy</v>
          </cell>
        </row>
        <row r="166">
          <cell r="E166" t="str">
            <v>0937235453</v>
          </cell>
          <cell r="F166" t="str">
            <v>230 Đường Hồ Văn Tắng, Ấp Phú Lợi, Xã Tân Phú Trung, Củ Chi, P.Tân Phú Trung,Củ Chi,Hồ Chí Minh</v>
          </cell>
          <cell r="G166" t="str">
            <v>Bài 1: Tư vấn điều trị viêm họng - Nhà thuốc cần lưu ý gì?</v>
          </cell>
          <cell r="H166">
            <v>43785.48642361111</v>
          </cell>
          <cell r="I166" t="str">
            <v>HCM</v>
          </cell>
          <cell r="J166" t="str">
            <v>A. Tri</v>
          </cell>
        </row>
        <row r="167">
          <cell r="E167" t="str">
            <v>0989161768</v>
          </cell>
          <cell r="F167" t="str">
            <v>148 nguyen thi minh khai, P.Tân Lợi,Buôn Ma Thuột,Đắk Lắk</v>
          </cell>
          <cell r="G167" t="str">
            <v>Bài 1: Tư vấn điều trị viêm họng - Nhà thuốc cần lưu ý gì?</v>
          </cell>
          <cell r="H167">
            <v>43762.47078703704</v>
          </cell>
          <cell r="I167" t="str">
            <v>Đăk Lăk</v>
          </cell>
          <cell r="J167" t="str">
            <v>A. Tho</v>
          </cell>
        </row>
        <row r="168">
          <cell r="E168" t="str">
            <v>0366813637</v>
          </cell>
          <cell r="F168" t="str">
            <v>191 Huỳnh Văn Nghệ ,kp2 , phường bửu long , tp biên hòa , đồng nai, P.Bửu Long,Biên Hòa,Đồng Nai</v>
          </cell>
          <cell r="G168" t="str">
            <v>Bài 1: Tư vấn điều trị viêm họng - Nhà thuốc cần lưu ý gì?</v>
          </cell>
          <cell r="H168">
            <v>43773.373657407406</v>
          </cell>
          <cell r="I168" t="str">
            <v>Đồng Nai</v>
          </cell>
          <cell r="J168" t="str">
            <v>A. Tho</v>
          </cell>
        </row>
        <row r="169">
          <cell r="E169" t="str">
            <v>0986506734</v>
          </cell>
          <cell r="F169" t="str">
            <v>Nhà số 28,A20,khu tập thể nghĩa tân, P.Nghĩa Tân,Cầu Giấy,Hà Nội</v>
          </cell>
          <cell r="G169" t="str">
            <v>Bài 1: Tư vấn điều trị viêm họng - Nhà thuốc cần lưu ý gì?</v>
          </cell>
          <cell r="H169">
            <v>43818.485439814816</v>
          </cell>
          <cell r="I169" t="str">
            <v>HN</v>
          </cell>
          <cell r="J169" t="str">
            <v>C. Quy</v>
          </cell>
        </row>
        <row r="170">
          <cell r="E170" t="str">
            <v>0905197747</v>
          </cell>
          <cell r="F170" t="str">
            <v>Dường A1, P.Vĩnh Hiệp,Nha Trang,Khánh Hòa</v>
          </cell>
          <cell r="G170" t="str">
            <v>Bài 1: Tư vấn điều trị viêm họng - Nhà thuốc cần lưu ý gì?</v>
          </cell>
          <cell r="H170">
            <v>43773.663229166668</v>
          </cell>
          <cell r="I170" t="str">
            <v>Khánh Hòa</v>
          </cell>
          <cell r="J170" t="str">
            <v>A. Tho</v>
          </cell>
        </row>
        <row r="171">
          <cell r="E171" t="str">
            <v>0352028046</v>
          </cell>
          <cell r="F171" t="str">
            <v>180 minh phung , P.06,Quận 6,Hồ Chí Minh</v>
          </cell>
          <cell r="G171" t="str">
            <v>Bài 1: Tư vấn điều trị viêm họng - Nhà thuốc cần lưu ý gì?</v>
          </cell>
          <cell r="H171">
            <v>43796.385300925926</v>
          </cell>
          <cell r="I171" t="str">
            <v>HCM</v>
          </cell>
          <cell r="J171" t="str">
            <v>A. Tri</v>
          </cell>
        </row>
        <row r="172">
          <cell r="E172" t="str">
            <v>0937451684</v>
          </cell>
          <cell r="F172" t="str">
            <v>247 to 5 khu phước hải, P.Long Thành,Long Thành,Đồng Nai</v>
          </cell>
          <cell r="G172" t="str">
            <v>Bài 1: Tư vấn điều trị viêm họng - Nhà thuốc cần lưu ý gì?</v>
          </cell>
          <cell r="H172">
            <v>43774.541122685187</v>
          </cell>
          <cell r="I172" t="str">
            <v>Đồng Nai</v>
          </cell>
          <cell r="J172" t="str">
            <v>A. Tho</v>
          </cell>
        </row>
        <row r="173">
          <cell r="E173" t="str">
            <v>0773789219</v>
          </cell>
          <cell r="F173" t="str">
            <v>246 Dương Quảng Hàm, phường 5, quận Gò Vấp, P.05,Gò Vấp,Hồ Chí Minh</v>
          </cell>
          <cell r="G173" t="str">
            <v>Bài 1: Tư vấn điều trị viêm họng - Nhà thuốc cần lưu ý gì?</v>
          </cell>
          <cell r="H173">
            <v>43773.430393518516</v>
          </cell>
          <cell r="I173" t="str">
            <v>HCM</v>
          </cell>
          <cell r="J173" t="str">
            <v>A. Tri</v>
          </cell>
        </row>
        <row r="174">
          <cell r="E174" t="str">
            <v>0934087637</v>
          </cell>
          <cell r="F174" t="str">
            <v>257B Nguyen Bieu- P. 2, P.02,Quận 5,Hồ Chí Minh</v>
          </cell>
          <cell r="G174" t="str">
            <v>Bài 1: Tư vấn điều trị viêm họng - Nhà thuốc cần lưu ý gì?</v>
          </cell>
          <cell r="H174">
            <v>43795.683287037034</v>
          </cell>
          <cell r="I174" t="str">
            <v>HCM</v>
          </cell>
          <cell r="J174" t="str">
            <v>A. Tri</v>
          </cell>
        </row>
        <row r="175">
          <cell r="E175" t="str">
            <v>0973564948</v>
          </cell>
          <cell r="F175" t="str">
            <v>276 bắc hải, P.02,Tân Bình,Hồ Chí Minh</v>
          </cell>
          <cell r="G175" t="str">
            <v>Bài 1: Tư vấn điều trị viêm họng - Nhà thuốc cần lưu ý gì?</v>
          </cell>
          <cell r="H175">
            <v>43777.471354166664</v>
          </cell>
          <cell r="I175" t="str">
            <v>HCM</v>
          </cell>
          <cell r="J175" t="str">
            <v>A. Tri</v>
          </cell>
        </row>
        <row r="176">
          <cell r="E176" t="str">
            <v>0916797589</v>
          </cell>
          <cell r="F176" t="str">
            <v>275 Ấp Bắc, Tân Thạnh, P.Thanh Bình,Thanh Bình,Đồng Tháp</v>
          </cell>
          <cell r="G176" t="str">
            <v>Bài 1: Tư vấn điều trị viêm họng - Nhà thuốc cần lưu ý gì?</v>
          </cell>
          <cell r="H176">
            <v>43766.605868055558</v>
          </cell>
          <cell r="I176" t="str">
            <v>Đồng Tháp</v>
          </cell>
          <cell r="J176" t="str">
            <v>A. Tho</v>
          </cell>
        </row>
        <row r="177">
          <cell r="E177" t="str">
            <v>0965678324</v>
          </cell>
          <cell r="F177" t="str">
            <v>27 Thuận Kiều, P.12,Quận 5,Hồ Chí Minh</v>
          </cell>
          <cell r="G177" t="str">
            <v>Bài 1: Tư vấn điều trị viêm họng - Nhà thuốc cần lưu ý gì?</v>
          </cell>
          <cell r="H177">
            <v>43791.815810185188</v>
          </cell>
          <cell r="I177" t="str">
            <v>HCM</v>
          </cell>
          <cell r="J177" t="str">
            <v>A. Tri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 list"/>
      <sheetName val="ThongKe"/>
      <sheetName val="Bai1_View"/>
      <sheetName val="Bai1_VuotQua"/>
      <sheetName val="Bai2_View"/>
      <sheetName val="Bai2_VuotQua"/>
      <sheetName val="Bai3_View"/>
      <sheetName val="Bai3_VuotQua"/>
      <sheetName val="Bai4_View"/>
      <sheetName val="Bai4_VuotQua"/>
      <sheetName val="Hồ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1">
          <cell r="D1" t="str">
            <v>Số điện thoại</v>
          </cell>
          <cell r="E1" t="str">
            <v>Địa chỉ</v>
          </cell>
          <cell r="F1" t="str">
            <v>Bài 1</v>
          </cell>
          <cell r="G1" t="str">
            <v>Bài 2</v>
          </cell>
          <cell r="H1" t="str">
            <v>Bài 3</v>
          </cell>
          <cell r="I1" t="str">
            <v>Bài 4</v>
          </cell>
          <cell r="J1" t="str">
            <v>Results</v>
          </cell>
          <cell r="K1" t="str">
            <v>Khu vuc</v>
          </cell>
          <cell r="L1" t="str">
            <v>ASM</v>
          </cell>
          <cell r="M1" t="str">
            <v>Comment</v>
          </cell>
        </row>
        <row r="2">
          <cell r="D2" t="str">
            <v>0986190286</v>
          </cell>
          <cell r="E2" t="str">
            <v>204 hồng mai, P.Quỳnh Lôi,Hai Bà Trưng,Hà Nội</v>
          </cell>
          <cell r="F2" t="str">
            <v>done</v>
          </cell>
          <cell r="G2" t="str">
            <v>done</v>
          </cell>
          <cell r="H2" t="str">
            <v>done</v>
          </cell>
          <cell r="I2" t="str">
            <v>done</v>
          </cell>
          <cell r="J2" t="str">
            <v>done all</v>
          </cell>
          <cell r="K2" t="str">
            <v>HN</v>
          </cell>
          <cell r="L2" t="str">
            <v>C. Quy</v>
          </cell>
          <cell r="M2" t="str">
            <v>ok</v>
          </cell>
        </row>
        <row r="3">
          <cell r="D3" t="str">
            <v>0374635903</v>
          </cell>
          <cell r="E3" t="str">
            <v>14 Trần Nhân Tông, P.Nguyễn Du,Hai Bà Trưng,Hà Nội</v>
          </cell>
          <cell r="F3" t="str">
            <v>done</v>
          </cell>
          <cell r="G3" t="str">
            <v>done</v>
          </cell>
          <cell r="H3" t="str">
            <v>done</v>
          </cell>
          <cell r="I3" t="str">
            <v>done</v>
          </cell>
          <cell r="J3" t="str">
            <v>done all</v>
          </cell>
          <cell r="K3" t="str">
            <v>HN</v>
          </cell>
          <cell r="L3" t="str">
            <v>C. Quy</v>
          </cell>
          <cell r="M3" t="str">
            <v>ok</v>
          </cell>
        </row>
        <row r="4">
          <cell r="D4" t="str">
            <v>0906234770</v>
          </cell>
          <cell r="E4" t="str">
            <v>158/34 vinh tuy, P.Vĩnh Tuy,Hai Bà Trưng,Hà Nội</v>
          </cell>
          <cell r="F4" t="str">
            <v>done</v>
          </cell>
          <cell r="G4" t="str">
            <v>done</v>
          </cell>
          <cell r="H4" t="str">
            <v>done</v>
          </cell>
          <cell r="I4" t="str">
            <v>done</v>
          </cell>
          <cell r="J4" t="str">
            <v>done all</v>
          </cell>
          <cell r="K4" t="str">
            <v>HN</v>
          </cell>
          <cell r="L4" t="str">
            <v>C. Quy</v>
          </cell>
          <cell r="M4" t="str">
            <v>ok</v>
          </cell>
        </row>
        <row r="5">
          <cell r="D5" t="str">
            <v>0979209388</v>
          </cell>
          <cell r="E5" t="str">
            <v>104 bạch mai, P.Cầu Dền,Hai Bà Trưng,Hà Nội</v>
          </cell>
          <cell r="F5" t="str">
            <v>done</v>
          </cell>
          <cell r="G5" t="str">
            <v>done</v>
          </cell>
          <cell r="H5" t="str">
            <v>done</v>
          </cell>
          <cell r="I5" t="str">
            <v>done</v>
          </cell>
          <cell r="J5" t="str">
            <v>done all</v>
          </cell>
          <cell r="K5" t="str">
            <v>HN</v>
          </cell>
          <cell r="L5" t="str">
            <v>C. Quy</v>
          </cell>
          <cell r="M5" t="str">
            <v>ok</v>
          </cell>
        </row>
        <row r="6">
          <cell r="D6" t="str">
            <v>0838313886</v>
          </cell>
          <cell r="E6" t="str">
            <v>54, P.Đống Mác,Hai Bà Trưng,Hà Nội</v>
          </cell>
          <cell r="F6" t="str">
            <v>NY</v>
          </cell>
          <cell r="G6" t="str">
            <v>done</v>
          </cell>
          <cell r="H6" t="str">
            <v>done</v>
          </cell>
          <cell r="I6" t="str">
            <v>done</v>
          </cell>
          <cell r="J6" t="str">
            <v>done 3 lession</v>
          </cell>
          <cell r="K6" t="str">
            <v>HN</v>
          </cell>
          <cell r="L6" t="str">
            <v>C. Quy</v>
          </cell>
          <cell r="M6" t="str">
            <v>Đã học xong hôm nay 8/1/2020</v>
          </cell>
        </row>
        <row r="7">
          <cell r="D7" t="str">
            <v>0379361655</v>
          </cell>
          <cell r="E7" t="str">
            <v>59 Trần Đại Nghĩa, P.Bách Khoa,Hai Bà Trưng,Hà Nội</v>
          </cell>
          <cell r="F7" t="str">
            <v>done</v>
          </cell>
          <cell r="G7" t="str">
            <v>done</v>
          </cell>
          <cell r="H7" t="str">
            <v>done</v>
          </cell>
          <cell r="I7" t="str">
            <v>done</v>
          </cell>
          <cell r="J7" t="str">
            <v>done all</v>
          </cell>
          <cell r="K7" t="e">
            <v>#N/A</v>
          </cell>
          <cell r="L7" t="e">
            <v>#N/A</v>
          </cell>
          <cell r="M7" t="str">
            <v>ok</v>
          </cell>
        </row>
        <row r="8">
          <cell r="D8" t="str">
            <v>0962541648</v>
          </cell>
          <cell r="E8" t="str">
            <v>169 Mai Hac De, P.Lê Đại Hành,Hai Bà Trưng,Hà Nội</v>
          </cell>
          <cell r="F8" t="str">
            <v>done</v>
          </cell>
          <cell r="G8" t="str">
            <v>done</v>
          </cell>
          <cell r="H8" t="str">
            <v>done</v>
          </cell>
          <cell r="I8" t="str">
            <v>done</v>
          </cell>
          <cell r="J8" t="str">
            <v>done all</v>
          </cell>
          <cell r="K8" t="str">
            <v>HN</v>
          </cell>
          <cell r="L8" t="str">
            <v>C. Quy</v>
          </cell>
          <cell r="M8" t="str">
            <v>ok</v>
          </cell>
        </row>
        <row r="9">
          <cell r="D9" t="str">
            <v>033650324</v>
          </cell>
          <cell r="E9" t="str">
            <v>45/295 bạch mai, P.Bạch Mai,Hai Bà Trưng,Hà Nội</v>
          </cell>
          <cell r="F9" t="str">
            <v>done</v>
          </cell>
          <cell r="G9" t="str">
            <v>done</v>
          </cell>
          <cell r="H9" t="str">
            <v>done</v>
          </cell>
          <cell r="I9" t="str">
            <v>done</v>
          </cell>
          <cell r="J9" t="str">
            <v>done all</v>
          </cell>
          <cell r="K9" t="e">
            <v>#N/A</v>
          </cell>
          <cell r="L9" t="e">
            <v>#N/A</v>
          </cell>
          <cell r="M9" t="str">
            <v>ok</v>
          </cell>
        </row>
        <row r="10">
          <cell r="D10" t="str">
            <v>0988192916</v>
          </cell>
          <cell r="E10" t="str">
            <v>233 đường thanh nhàn , P.Thanh Nhàn,Hai Bà Trưng,Hà Nội</v>
          </cell>
          <cell r="F10" t="str">
            <v>done</v>
          </cell>
          <cell r="G10" t="str">
            <v>done</v>
          </cell>
          <cell r="H10" t="str">
            <v>done</v>
          </cell>
          <cell r="I10" t="str">
            <v>NY</v>
          </cell>
          <cell r="J10" t="str">
            <v>done 3 lession</v>
          </cell>
          <cell r="K10" t="e">
            <v>#N/A</v>
          </cell>
          <cell r="L10" t="e">
            <v>#N/A</v>
          </cell>
          <cell r="M10" t="str">
            <v>Đã xem và học hết bài</v>
          </cell>
        </row>
        <row r="11">
          <cell r="D11" t="str">
            <v>0375231202</v>
          </cell>
          <cell r="E11" t="str">
            <v>79 trương Định, P.Trương Định,Hai Bà Trưng,Hà Nội</v>
          </cell>
          <cell r="F11" t="str">
            <v>done</v>
          </cell>
          <cell r="G11" t="str">
            <v>done</v>
          </cell>
          <cell r="H11" t="str">
            <v>done</v>
          </cell>
          <cell r="I11" t="str">
            <v>done</v>
          </cell>
          <cell r="J11" t="str">
            <v>done all</v>
          </cell>
          <cell r="K11" t="e">
            <v>#N/A</v>
          </cell>
          <cell r="L11" t="e">
            <v>#N/A</v>
          </cell>
          <cell r="M11" t="str">
            <v>ok</v>
          </cell>
        </row>
        <row r="12">
          <cell r="D12" t="str">
            <v>0972629129</v>
          </cell>
          <cell r="E12" t="str">
            <v>504 Minh Khai, P.Vĩnh Tuy,Hai Bà Trưng,Hà Nội</v>
          </cell>
          <cell r="F12" t="str">
            <v>NY</v>
          </cell>
          <cell r="G12" t="str">
            <v>NY</v>
          </cell>
          <cell r="H12" t="str">
            <v>NY</v>
          </cell>
          <cell r="I12" t="str">
            <v>NY</v>
          </cell>
          <cell r="J12" t="str">
            <v>NY</v>
          </cell>
          <cell r="K12" t="e">
            <v>#N/A</v>
          </cell>
          <cell r="L12" t="e">
            <v>#N/A</v>
          </cell>
          <cell r="M12" t="str">
            <v>k kịp tham gia</v>
          </cell>
        </row>
        <row r="13">
          <cell r="D13" t="str">
            <v>0987074092</v>
          </cell>
          <cell r="E13" t="str">
            <v>266 Lê Thanh Nghị, P.Đồng Tâm,Hai Bà Trưng,Hà Nội</v>
          </cell>
          <cell r="F13" t="str">
            <v>done</v>
          </cell>
          <cell r="G13" t="str">
            <v>done</v>
          </cell>
          <cell r="H13" t="str">
            <v>done</v>
          </cell>
          <cell r="I13" t="str">
            <v>done</v>
          </cell>
          <cell r="J13" t="str">
            <v>done all</v>
          </cell>
          <cell r="K13" t="e">
            <v>#N/A</v>
          </cell>
          <cell r="L13" t="e">
            <v>#N/A</v>
          </cell>
          <cell r="M13" t="str">
            <v>ok</v>
          </cell>
        </row>
        <row r="14">
          <cell r="D14" t="str">
            <v>0961729669</v>
          </cell>
          <cell r="E14" t="str">
            <v>Số 6 Trương Định, P.Trương Định,Hai Bà Trưng,Hà Nội</v>
          </cell>
          <cell r="F14" t="str">
            <v>done</v>
          </cell>
          <cell r="G14" t="str">
            <v>done</v>
          </cell>
          <cell r="H14" t="str">
            <v>done</v>
          </cell>
          <cell r="I14" t="str">
            <v>done</v>
          </cell>
          <cell r="J14" t="str">
            <v>done all</v>
          </cell>
          <cell r="K14" t="e">
            <v>#N/A</v>
          </cell>
          <cell r="L14" t="e">
            <v>#N/A</v>
          </cell>
          <cell r="M14" t="str">
            <v>ok</v>
          </cell>
        </row>
        <row r="15">
          <cell r="D15" t="str">
            <v>0335720009</v>
          </cell>
          <cell r="E15" t="str">
            <v>626 Minh Khai, P.Vĩnh Tuy,Hai Bà Trưng,Hà Nội</v>
          </cell>
          <cell r="F15" t="str">
            <v>done</v>
          </cell>
          <cell r="G15" t="str">
            <v>done</v>
          </cell>
          <cell r="H15" t="str">
            <v>done</v>
          </cell>
          <cell r="I15" t="str">
            <v>done</v>
          </cell>
          <cell r="J15" t="str">
            <v>done all</v>
          </cell>
          <cell r="K15" t="str">
            <v>HN</v>
          </cell>
          <cell r="L15" t="str">
            <v>C. Quy</v>
          </cell>
          <cell r="M15" t="str">
            <v>ok</v>
          </cell>
        </row>
        <row r="16">
          <cell r="D16" t="str">
            <v>0985733759</v>
          </cell>
          <cell r="E16" t="str">
            <v>169 Hồng mai, P.Quỳnh Lôi,Hai Bà Trưng,Hà Nội</v>
          </cell>
          <cell r="F16" t="str">
            <v>done</v>
          </cell>
          <cell r="G16" t="str">
            <v>done</v>
          </cell>
          <cell r="H16" t="str">
            <v>done</v>
          </cell>
          <cell r="I16" t="str">
            <v>done</v>
          </cell>
          <cell r="J16" t="str">
            <v>done all</v>
          </cell>
          <cell r="K16" t="e">
            <v>#N/A</v>
          </cell>
          <cell r="L16" t="e">
            <v>#N/A</v>
          </cell>
          <cell r="M16" t="str">
            <v>ok</v>
          </cell>
        </row>
        <row r="17">
          <cell r="D17" t="str">
            <v>0362225885</v>
          </cell>
          <cell r="E17" t="str">
            <v>35 cũ nay 251 Trần Đại Nghĩa, P.Đồng Tâm,Hai Bà Trưng,Hà Nội</v>
          </cell>
          <cell r="F17" t="str">
            <v>done</v>
          </cell>
          <cell r="G17" t="str">
            <v>done</v>
          </cell>
          <cell r="H17" t="str">
            <v>done</v>
          </cell>
          <cell r="I17" t="str">
            <v>done</v>
          </cell>
          <cell r="J17" t="str">
            <v>done all</v>
          </cell>
          <cell r="M17" t="str">
            <v>ok</v>
          </cell>
        </row>
        <row r="18">
          <cell r="D18" t="str">
            <v>0969543442</v>
          </cell>
          <cell r="E18" t="str">
            <v>82 lo đúc, P.Ngô Thì Nhậm,Hai Bà Trưng,Hà Nội</v>
          </cell>
          <cell r="F18" t="str">
            <v>done</v>
          </cell>
          <cell r="G18" t="str">
            <v>done</v>
          </cell>
          <cell r="H18" t="str">
            <v>done</v>
          </cell>
          <cell r="I18" t="str">
            <v>done</v>
          </cell>
          <cell r="J18" t="str">
            <v>done all</v>
          </cell>
          <cell r="K18" t="str">
            <v>HN</v>
          </cell>
          <cell r="L18" t="str">
            <v>C. Quy</v>
          </cell>
          <cell r="M18" t="str">
            <v>ok</v>
          </cell>
        </row>
        <row r="19">
          <cell r="D19" t="str">
            <v>0838447748</v>
          </cell>
          <cell r="E19" t="str">
            <v>484 bạch mai, P.Trương Định,Hai Bà Trưng,Hà Nội</v>
          </cell>
          <cell r="F19" t="str">
            <v>done</v>
          </cell>
          <cell r="G19" t="str">
            <v>done</v>
          </cell>
          <cell r="H19" t="str">
            <v>NY</v>
          </cell>
          <cell r="I19" t="str">
            <v>NY</v>
          </cell>
          <cell r="J19" t="str">
            <v>done 2 lession</v>
          </cell>
          <cell r="K19" t="e">
            <v>#N/A</v>
          </cell>
          <cell r="L19" t="e">
            <v>#N/A</v>
          </cell>
          <cell r="M19" t="str">
            <v>Đã học xong hôm nay 8/1/2020</v>
          </cell>
        </row>
        <row r="20">
          <cell r="D20">
            <v>967140666</v>
          </cell>
          <cell r="E20" t="str">
            <v>15 Yên Lạc</v>
          </cell>
          <cell r="M20" t="str">
            <v>Đã học xong nhưng k có tên trong danh sách</v>
          </cell>
        </row>
        <row r="21">
          <cell r="D21">
            <v>902213933</v>
          </cell>
          <cell r="E21" t="str">
            <v>70 Hồng Mai</v>
          </cell>
          <cell r="M21" t="str">
            <v>Đã học xong nhưng k có tên trong danh sách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ongKe"/>
      <sheetName val="Bai1_View"/>
      <sheetName val="Bai1_VuotQua"/>
      <sheetName val="Bai2_View"/>
      <sheetName val="Bai2_VuotQua"/>
      <sheetName val="Bai3_View"/>
      <sheetName val="Bai3_VuotQua"/>
      <sheetName val="Bai4_View"/>
      <sheetName val="Bai4_VuotQua"/>
    </sheetNames>
    <sheetDataSet>
      <sheetData sheetId="0"/>
      <sheetData sheetId="1"/>
      <sheetData sheetId="2">
        <row r="8">
          <cell r="D8" t="str">
            <v>0982819628</v>
          </cell>
          <cell r="E8" t="str">
            <v>142 vũ trọng phụng, P.Nhân Chính,Thanh Xuân,Hà Nội</v>
          </cell>
          <cell r="F8" t="str">
            <v>Bài 1: Tư vấn điều trị viêm họng - Nhà thuốc cần lưu ý gì?</v>
          </cell>
          <cell r="G8" t="str">
            <v>12/27/2019 7:23:00 PM</v>
          </cell>
          <cell r="H8" t="str">
            <v>done 1 lession</v>
          </cell>
          <cell r="I8" t="str">
            <v>done</v>
          </cell>
        </row>
        <row r="9">
          <cell r="D9" t="str">
            <v>0906012898</v>
          </cell>
          <cell r="E9" t="str">
            <v>86 Lò Đúc, P.Phạm Đình Hổ,Hai Bà Trưng,Hà Nội</v>
          </cell>
          <cell r="F9" t="str">
            <v>Bài 1: Tư vấn điều trị viêm họng - Nhà thuốc cần lưu ý gì?</v>
          </cell>
          <cell r="G9" t="str">
            <v>11/18/2019 8:31:17 PM</v>
          </cell>
          <cell r="H9" t="str">
            <v>done 1 lession</v>
          </cell>
          <cell r="I9" t="str">
            <v>done</v>
          </cell>
        </row>
        <row r="10">
          <cell r="D10" t="str">
            <v>0352494097</v>
          </cell>
          <cell r="E10" t="str">
            <v>72a/5 ph9 phuong tan bien, P.Tân Biên,Biên Hòa,Đồng Nai</v>
          </cell>
          <cell r="F10" t="str">
            <v>Bài 1: Tư vấn điều trị viêm họng - Nhà thuốc cần lưu ý gì?</v>
          </cell>
          <cell r="G10" t="str">
            <v>11/4/2019 11:56:12 AM</v>
          </cell>
          <cell r="H10" t="str">
            <v>done 1 lession</v>
          </cell>
          <cell r="I10" t="str">
            <v>done</v>
          </cell>
        </row>
        <row r="11">
          <cell r="D11" t="str">
            <v>0362225885</v>
          </cell>
          <cell r="E11" t="str">
            <v>35 cũ nay 251 Trần Đại Nghĩa, P.Đồng Tâm,Hai Bà Trưng,Hà Nội</v>
          </cell>
          <cell r="F11" t="str">
            <v>Bài 1: Tư vấn điều trị viêm họng - Nhà thuốc cần lưu ý gì?</v>
          </cell>
          <cell r="G11" t="str">
            <v>11/5/2019 11:45:34 AM</v>
          </cell>
          <cell r="H11" t="str">
            <v>done all</v>
          </cell>
          <cell r="I11" t="str">
            <v>done</v>
          </cell>
        </row>
        <row r="12">
          <cell r="D12" t="str">
            <v>0986891582</v>
          </cell>
          <cell r="E12" t="str">
            <v>204 Hoàng Văn Thái, P.Nhân Chính,Thanh Xuân,Hà Nội</v>
          </cell>
          <cell r="F12" t="str">
            <v>Bài 1: Tư vấn điều trị viêm họng - Nhà thuốc cần lưu ý gì?</v>
          </cell>
          <cell r="G12" t="str">
            <v>12/26/2019 3:47:06 PM</v>
          </cell>
          <cell r="H12" t="str">
            <v>done 2 lession</v>
          </cell>
          <cell r="I12" t="str">
            <v>done</v>
          </cell>
        </row>
        <row r="13">
          <cell r="D13" t="str">
            <v>0937234829</v>
          </cell>
          <cell r="E13" t="str">
            <v>Cong quynh, P.Phạm Ngũ Lão,Quận 1,Hồ Chí Minh</v>
          </cell>
          <cell r="F13" t="str">
            <v>Bài 1: Tư vấn điều trị viêm họng - Nhà thuốc cần lưu ý gì?</v>
          </cell>
          <cell r="G13" t="str">
            <v>12/16/2019 12:10:00 PM</v>
          </cell>
          <cell r="H13" t="str">
            <v>done all</v>
          </cell>
          <cell r="I13" t="str">
            <v>done</v>
          </cell>
        </row>
        <row r="14">
          <cell r="D14" t="str">
            <v>0915960698</v>
          </cell>
          <cell r="E14" t="str">
            <v>105/168, P.Ngọc Khánh,Ba Đình,Hà Nội</v>
          </cell>
          <cell r="F14" t="str">
            <v>Bài 1: Tư vấn điều trị viêm họng - Nhà thuốc cần lưu ý gì?</v>
          </cell>
          <cell r="G14" t="str">
            <v>12/27/2019 12:23:08 PM</v>
          </cell>
          <cell r="H14" t="str">
            <v>done 3 lession</v>
          </cell>
          <cell r="I14" t="str">
            <v>done</v>
          </cell>
        </row>
        <row r="15">
          <cell r="D15" t="str">
            <v>0902117077</v>
          </cell>
          <cell r="E15" t="str">
            <v>198 Xã Đàn, P.Ô Chợ Dừa,Đống Đa,Hà Nội</v>
          </cell>
          <cell r="F15" t="str">
            <v>Bài 1: Tư vấn điều trị viêm họng - Nhà thuốc cần lưu ý gì?</v>
          </cell>
          <cell r="G15" t="str">
            <v>11/9/2019 9:58:23 PM</v>
          </cell>
          <cell r="H15" t="str">
            <v>done all</v>
          </cell>
          <cell r="I15" t="str">
            <v>done</v>
          </cell>
        </row>
        <row r="16">
          <cell r="D16" t="str">
            <v>0903325275</v>
          </cell>
          <cell r="E16" t="str">
            <v>12, P.Đội Cấn,Ba Đình,Hà Nội</v>
          </cell>
          <cell r="F16" t="str">
            <v>Bài 1: Tư vấn điều trị viêm họng - Nhà thuốc cần lưu ý gì?</v>
          </cell>
          <cell r="G16" t="str">
            <v>12/27/2019 3:04:36 PM</v>
          </cell>
          <cell r="H16" t="str">
            <v>done all</v>
          </cell>
          <cell r="I16" t="str">
            <v>done</v>
          </cell>
        </row>
        <row r="17">
          <cell r="D17" t="str">
            <v>0907089624</v>
          </cell>
          <cell r="E17" t="str">
            <v>79D4, Khu Vực Thạnh Mỹ, P.Thường Thạnh,Cái Răng,Cần Thơ</v>
          </cell>
          <cell r="F17" t="str">
            <v>Bài 1: Tư vấn điều trị viêm họng - Nhà thuốc cần lưu ý gì?</v>
          </cell>
          <cell r="G17" t="str">
            <v>11/25/2019 9:16:20 AM</v>
          </cell>
          <cell r="H17" t="str">
            <v>done all</v>
          </cell>
          <cell r="I17" t="str">
            <v>done</v>
          </cell>
        </row>
        <row r="18">
          <cell r="D18" t="str">
            <v>0335720069</v>
          </cell>
          <cell r="E18" t="str">
            <v>626 minh khai, P.Vĩnh Tuy,Hai Bà Trưng,Hà Nội</v>
          </cell>
          <cell r="F18" t="str">
            <v>Bài 1: Tư vấn điều trị viêm họng - Nhà thuốc cần lưu ý gì?</v>
          </cell>
          <cell r="G18" t="str">
            <v>11/8/2019 10:08:27 AM</v>
          </cell>
          <cell r="H18" t="str">
            <v>done 1 lession</v>
          </cell>
          <cell r="I18" t="str">
            <v>done</v>
          </cell>
        </row>
        <row r="19">
          <cell r="D19" t="str">
            <v>0766855066</v>
          </cell>
          <cell r="E19" t="str">
            <v>178, P.Tân An,Ninh Kiều,Cần Thơ</v>
          </cell>
          <cell r="F19" t="str">
            <v>Bài 1: Tư vấn điều trị viêm họng - Nhà thuốc cần lưu ý gì?</v>
          </cell>
          <cell r="G19" t="str">
            <v>10/28/2019 5:22:05 PM</v>
          </cell>
          <cell r="H19" t="str">
            <v>done all</v>
          </cell>
          <cell r="I19" t="str">
            <v>done</v>
          </cell>
        </row>
        <row r="20">
          <cell r="D20" t="str">
            <v>0986190286</v>
          </cell>
          <cell r="E20" t="str">
            <v>204 hồng mai, P.Quỳnh Lôi,Hai Bà Trưng,Hà Nội</v>
          </cell>
          <cell r="F20" t="str">
            <v>Bài 1: Tư vấn điều trị viêm họng - Nhà thuốc cần lưu ý gì?</v>
          </cell>
          <cell r="G20" t="str">
            <v>12/27/2019 12:55:23 PM</v>
          </cell>
          <cell r="H20" t="str">
            <v>done all</v>
          </cell>
          <cell r="I20" t="str">
            <v>done</v>
          </cell>
        </row>
        <row r="21">
          <cell r="D21" t="str">
            <v>0374635903</v>
          </cell>
          <cell r="E21" t="str">
            <v>14 Trần Nhân Tông, P.Nguyễn Du,Hai Bà Trưng,Hà Nội</v>
          </cell>
          <cell r="F21" t="str">
            <v>Bài 1: Tư vấn điều trị viêm họng - Nhà thuốc cần lưu ý gì?</v>
          </cell>
          <cell r="G21" t="str">
            <v>12/27/2019 1:52:07 PM</v>
          </cell>
          <cell r="H21" t="str">
            <v>done all</v>
          </cell>
          <cell r="I21" t="str">
            <v>done</v>
          </cell>
        </row>
        <row r="22">
          <cell r="D22" t="str">
            <v>0908412436</v>
          </cell>
          <cell r="E22" t="str">
            <v>702 HUONG LO 2, P. BINH TRI DONG A, P.Bình Hưng Hòa,Bình Tân,Hồ Chí Minh</v>
          </cell>
          <cell r="F22" t="str">
            <v>Bài 1: Tư vấn điều trị viêm họng - Nhà thuốc cần lưu ý gì?</v>
          </cell>
          <cell r="G22" t="str">
            <v>11/13/2019 12:42:07 PM</v>
          </cell>
          <cell r="H22" t="str">
            <v>done all</v>
          </cell>
          <cell r="I22" t="str">
            <v>done</v>
          </cell>
        </row>
        <row r="23">
          <cell r="D23" t="str">
            <v>0902485557</v>
          </cell>
          <cell r="E23" t="str">
            <v>011 Chung Cư Tân Sơn Nhì, P.14,Tân Bình,Hồ Chí Minh</v>
          </cell>
          <cell r="F23" t="str">
            <v>Bài 1: Tư vấn điều trị viêm họng - Nhà thuốc cần lưu ý gì?</v>
          </cell>
          <cell r="G23" t="str">
            <v>11/8/2019 11:03:53 AM</v>
          </cell>
          <cell r="H23" t="str">
            <v>done 1 lession</v>
          </cell>
          <cell r="I23" t="str">
            <v>done</v>
          </cell>
        </row>
        <row r="24">
          <cell r="D24" t="str">
            <v>0913143031</v>
          </cell>
          <cell r="E24" t="str">
            <v>197, đường 1/5,, P.Tràm Chim,Tam Nông,Đồng Tháp</v>
          </cell>
          <cell r="F24" t="str">
            <v>Bài 1: Tư vấn điều trị viêm họng - Nhà thuốc cần lưu ý gì?</v>
          </cell>
          <cell r="G24" t="str">
            <v>11/15/2019 5:31:10 PM</v>
          </cell>
          <cell r="H24" t="str">
            <v>done 2 lession</v>
          </cell>
          <cell r="I24" t="str">
            <v>done</v>
          </cell>
        </row>
        <row r="25">
          <cell r="D25" t="str">
            <v>0398019788</v>
          </cell>
          <cell r="E25" t="str">
            <v>Số 72 phố Trần Bình, P.Mai Dịch,Cầu Giấy,Hà Nội</v>
          </cell>
          <cell r="F25" t="str">
            <v>Bài 1: Tư vấn điều trị viêm họng - Nhà thuốc cần lưu ý gì?</v>
          </cell>
          <cell r="G25" t="str">
            <v>12/22/2019 3:13:20 PM</v>
          </cell>
          <cell r="H25" t="str">
            <v>done all</v>
          </cell>
          <cell r="I25" t="str">
            <v>done</v>
          </cell>
        </row>
        <row r="26">
          <cell r="D26" t="str">
            <v>0932985905</v>
          </cell>
          <cell r="E26" t="str">
            <v>10 trần việt châu, P.An Hòa,Ninh Kiều,Cần Thơ</v>
          </cell>
          <cell r="F26" t="str">
            <v>Bài 1: Tư vấn điều trị viêm họng - Nhà thuốc cần lưu ý gì?</v>
          </cell>
          <cell r="G26" t="str">
            <v>11/4/2019 9:26:26 AM</v>
          </cell>
          <cell r="H26" t="str">
            <v>done 1 lession</v>
          </cell>
          <cell r="I26" t="str">
            <v>done</v>
          </cell>
        </row>
        <row r="27">
          <cell r="D27" t="str">
            <v>0938980689</v>
          </cell>
          <cell r="E27" t="str">
            <v>08 lô C Mạc Thiên Tích , P.11,Quận 5,Hồ Chí Minh</v>
          </cell>
          <cell r="F27" t="str">
            <v>Bài 1: Tư vấn điều trị viêm họng - Nhà thuốc cần lưu ý gì?</v>
          </cell>
          <cell r="G27" t="str">
            <v>12/19/2019 4:41:21 PM</v>
          </cell>
          <cell r="H27" t="str">
            <v>done all</v>
          </cell>
          <cell r="I27" t="str">
            <v>done</v>
          </cell>
        </row>
        <row r="28">
          <cell r="D28" t="str">
            <v>0982600388</v>
          </cell>
          <cell r="E28" t="str">
            <v>81B xuân diệu, P.Quảng An,Tây Hồ,Hà Nội</v>
          </cell>
          <cell r="F28" t="str">
            <v>Bài 1: Tư vấn điều trị viêm họng - Nhà thuốc cần lưu ý gì?</v>
          </cell>
          <cell r="G28" t="str">
            <v>1/3/2020 9:46:36 AM</v>
          </cell>
          <cell r="H28" t="str">
            <v>done all</v>
          </cell>
          <cell r="I28" t="str">
            <v>done</v>
          </cell>
        </row>
        <row r="29">
          <cell r="D29" t="str">
            <v>0372046246</v>
          </cell>
          <cell r="E29" t="str">
            <v>Số nhà 168 Phùng Hưng- Hà Đông - Hà Nội, P.Phúc La,Hà Đông,Hà Nội</v>
          </cell>
          <cell r="F29" t="str">
            <v>Bài 1: Tư vấn điều trị viêm họng - Nhà thuốc cần lưu ý gì?</v>
          </cell>
          <cell r="G29" t="str">
            <v>12/27/2019 5:02:05 PM</v>
          </cell>
          <cell r="H29" t="str">
            <v>done all</v>
          </cell>
          <cell r="I29" t="str">
            <v>done</v>
          </cell>
        </row>
        <row r="30">
          <cell r="D30" t="str">
            <v>0908275696</v>
          </cell>
          <cell r="E30" t="str">
            <v>Hai Bà Trưng, P. Mỹ Long, Tp. Long Xuyên, P.Mỹ Long,Long Xuyên,An Giang</v>
          </cell>
          <cell r="F30" t="str">
            <v>Bài 1: Tư vấn điều trị viêm họng - Nhà thuốc cần lưu ý gì?</v>
          </cell>
          <cell r="G30" t="str">
            <v>11/15/2019 5:12:02 PM</v>
          </cell>
          <cell r="H30" t="str">
            <v>done 1 lession</v>
          </cell>
          <cell r="I30" t="str">
            <v>done</v>
          </cell>
        </row>
        <row r="31">
          <cell r="D31" t="str">
            <v>0917266219</v>
          </cell>
          <cell r="E31" t="str">
            <v>47 Cửu Long, P.15,Quận 10,Hồ Chí Minh</v>
          </cell>
          <cell r="F31" t="str">
            <v>Bài 1: Tư vấn điều trị viêm họng - Nhà thuốc cần lưu ý gì?</v>
          </cell>
          <cell r="G31" t="str">
            <v>12/25/2019 8:23:47 AM</v>
          </cell>
          <cell r="H31" t="str">
            <v>done all</v>
          </cell>
          <cell r="I31" t="str">
            <v>done</v>
          </cell>
        </row>
        <row r="32">
          <cell r="D32" t="str">
            <v>0979336497</v>
          </cell>
          <cell r="E32" t="str">
            <v>86 no trang long, P.Tân Tiến,Buôn Ma Thuột,Đắk Lắk</v>
          </cell>
          <cell r="F32" t="str">
            <v>Bài 1: Tư vấn điều trị viêm họng - Nhà thuốc cần lưu ý gì?</v>
          </cell>
          <cell r="G32" t="str">
            <v>10/26/2019 2:53:00 PM</v>
          </cell>
          <cell r="H32" t="str">
            <v>done 1 lession</v>
          </cell>
          <cell r="I32" t="str">
            <v>done</v>
          </cell>
        </row>
        <row r="33">
          <cell r="D33" t="str">
            <v>0965568368</v>
          </cell>
          <cell r="E33" t="str">
            <v>1035 kp 7 phường long bình , P.Long Bình,Biên Hòa,Đồng Nai</v>
          </cell>
          <cell r="F33" t="str">
            <v>Bài 1: Tư vấn điều trị viêm họng - Nhà thuốc cần lưu ý gì?</v>
          </cell>
          <cell r="G33" t="str">
            <v>11/8/2019 3:48:09 PM</v>
          </cell>
          <cell r="H33" t="str">
            <v>done all</v>
          </cell>
          <cell r="I33" t="str">
            <v>done</v>
          </cell>
        </row>
        <row r="34">
          <cell r="D34" t="str">
            <v>0906234770</v>
          </cell>
          <cell r="E34" t="str">
            <v>158/34 vinh tuy, P.Vĩnh Tuy,Hai Bà Trưng,Hà Nội</v>
          </cell>
          <cell r="F34" t="str">
            <v>Bài 1: Tư vấn điều trị viêm họng - Nhà thuốc cần lưu ý gì?</v>
          </cell>
          <cell r="G34" t="str">
            <v>12/27/2019 11:14:26 AM</v>
          </cell>
          <cell r="H34" t="str">
            <v>done all</v>
          </cell>
          <cell r="I34" t="str">
            <v>done</v>
          </cell>
        </row>
        <row r="35">
          <cell r="D35" t="str">
            <v>0943958020</v>
          </cell>
          <cell r="E35" t="str">
            <v>Số 6 ngõ 34 Âu Cơ, P.Quảng An,Tây Hồ,Hà Nội</v>
          </cell>
          <cell r="F35" t="str">
            <v>Bài 1: Tư vấn điều trị viêm họng - Nhà thuốc cần lưu ý gì?</v>
          </cell>
          <cell r="G35" t="str">
            <v>11/15/2019 10:12:02 PM</v>
          </cell>
          <cell r="H35" t="str">
            <v>done 1 lession</v>
          </cell>
          <cell r="I35" t="str">
            <v>done</v>
          </cell>
        </row>
        <row r="36">
          <cell r="D36" t="str">
            <v>0979635045</v>
          </cell>
          <cell r="E36" t="str">
            <v>số A21 phố dịch vọng hậu, P.Dịch Vọng Hậu,Cầu Giấy,Hà Nội</v>
          </cell>
          <cell r="F36" t="str">
            <v>Bài 1: Tư vấn điều trị viêm họng - Nhà thuốc cần lưu ý gì?</v>
          </cell>
          <cell r="G36" t="str">
            <v>12/27/2019 10:44:14 AM</v>
          </cell>
          <cell r="H36" t="str">
            <v>done all</v>
          </cell>
          <cell r="I36" t="str">
            <v>done</v>
          </cell>
        </row>
        <row r="37">
          <cell r="D37" t="str">
            <v>0996986777</v>
          </cell>
          <cell r="E37" t="str">
            <v>327/37/11 ymoan, P.Tân Lợi,Buôn Ma Thuột,Đắk Lắk</v>
          </cell>
          <cell r="F37" t="str">
            <v>Bài 1: Tư vấn điều trị viêm họng - Nhà thuốc cần lưu ý gì?</v>
          </cell>
          <cell r="G37" t="str">
            <v>11/2/2019 3:07:07 PM</v>
          </cell>
          <cell r="H37" t="str">
            <v>done all</v>
          </cell>
          <cell r="I37" t="str">
            <v>done</v>
          </cell>
        </row>
        <row r="38">
          <cell r="D38" t="str">
            <v>0979209388</v>
          </cell>
          <cell r="E38" t="str">
            <v>104 bạch mai, P.Cầu Dền,Hai Bà Trưng,Hà Nội</v>
          </cell>
          <cell r="F38" t="str">
            <v>Bài 1: Tư vấn điều trị viêm họng - Nhà thuốc cần lưu ý gì?</v>
          </cell>
          <cell r="G38" t="str">
            <v>12/27/2019 2:09:26 PM</v>
          </cell>
          <cell r="H38" t="str">
            <v>done all</v>
          </cell>
          <cell r="I38" t="str">
            <v>done</v>
          </cell>
        </row>
        <row r="39">
          <cell r="D39" t="str">
            <v>0908822952</v>
          </cell>
          <cell r="E39" t="str">
            <v>351 Tân Hoà Dông, P.Bình Trị Đông,Bình Tân,Hồ Chí Minh</v>
          </cell>
          <cell r="F39" t="str">
            <v>Bài 1: Tư vấn điều trị viêm họng - Nhà thuốc cần lưu ý gì?</v>
          </cell>
          <cell r="G39" t="str">
            <v>11/15/2019 12:43:36 PM</v>
          </cell>
          <cell r="H39" t="str">
            <v>done all</v>
          </cell>
          <cell r="I39" t="str">
            <v>done</v>
          </cell>
        </row>
        <row r="40">
          <cell r="D40" t="str">
            <v>0907406779</v>
          </cell>
          <cell r="E40" t="str">
            <v>73 Tran Binh Trong- P. 1, P.01,Quận 5,Hồ Chí Minh</v>
          </cell>
          <cell r="F40" t="str">
            <v>Bài 1: Tư vấn điều trị viêm họng - Nhà thuốc cần lưu ý gì?</v>
          </cell>
          <cell r="G40" t="str">
            <v>12/24/2019 10:16:41 AM</v>
          </cell>
          <cell r="H40" t="str">
            <v>done all</v>
          </cell>
          <cell r="I40" t="str">
            <v>done</v>
          </cell>
        </row>
        <row r="41">
          <cell r="D41" t="str">
            <v>0905713139</v>
          </cell>
          <cell r="E41" t="str">
            <v>4 yersin , P.Xương Huân,Nha Trang,Khánh Hòa</v>
          </cell>
          <cell r="F41" t="str">
            <v>Bài 1: Tư vấn điều trị viêm họng - Nhà thuốc cần lưu ý gì?</v>
          </cell>
          <cell r="G41" t="str">
            <v>12/23/2019 12:17:25 PM</v>
          </cell>
          <cell r="H41" t="str">
            <v>done all</v>
          </cell>
          <cell r="I41" t="str">
            <v>done</v>
          </cell>
        </row>
        <row r="42">
          <cell r="D42" t="str">
            <v>0903452774</v>
          </cell>
          <cell r="E42" t="str">
            <v>43A PHAN XÍCH LONG, PHƯỜNG 2, QUẬN PHÚ NHUẬN, TP.HCM, P.02,Phú Nhuận,Hồ Chí Minh</v>
          </cell>
          <cell r="F42" t="str">
            <v>Bài 1: Tư vấn điều trị viêm họng - Nhà thuốc cần lưu ý gì?</v>
          </cell>
          <cell r="G42" t="str">
            <v>1/9/2020 10:55:34 PM</v>
          </cell>
          <cell r="H42" t="e">
            <v>#N/A</v>
          </cell>
          <cell r="I42" t="str">
            <v>done</v>
          </cell>
        </row>
        <row r="43">
          <cell r="D43" t="str">
            <v>0838313886</v>
          </cell>
          <cell r="E43" t="str">
            <v>54, P.Đống Mác,Hai Bà Trưng,Hà Nội</v>
          </cell>
          <cell r="F43" t="str">
            <v>Bài 1: Tư vấn điều trị viêm họng - Nhà thuốc cần lưu ý gì?</v>
          </cell>
          <cell r="G43" t="str">
            <v>1/8/2020 5:42:59 PM</v>
          </cell>
          <cell r="H43" t="str">
            <v>done all</v>
          </cell>
          <cell r="I43" t="str">
            <v>done</v>
          </cell>
        </row>
        <row r="44">
          <cell r="D44" t="str">
            <v>0379361655</v>
          </cell>
          <cell r="E44" t="str">
            <v>59 Trần Đại Nghĩa, P.Bách Khoa,Hai Bà Trưng,Hà Nội</v>
          </cell>
          <cell r="F44" t="str">
            <v>Bài 1: Tư vấn điều trị viêm họng - Nhà thuốc cần lưu ý gì?</v>
          </cell>
          <cell r="G44" t="str">
            <v>11/25/2019 4:52:09 PM</v>
          </cell>
          <cell r="H44" t="str">
            <v>done all</v>
          </cell>
          <cell r="I44" t="str">
            <v>done</v>
          </cell>
        </row>
        <row r="45">
          <cell r="D45" t="str">
            <v>0973732068</v>
          </cell>
          <cell r="E45" t="str">
            <v>493 Nguyễn Văn Công, P.03,Gò Vấp,Hồ Chí Minh</v>
          </cell>
          <cell r="F45" t="str">
            <v>Bài 1: Tư vấn điều trị viêm họng - Nhà thuốc cần lưu ý gì?</v>
          </cell>
          <cell r="G45" t="str">
            <v>11/11/2019 10:53:56 AM</v>
          </cell>
          <cell r="H45" t="str">
            <v>done all</v>
          </cell>
          <cell r="I45" t="str">
            <v>done</v>
          </cell>
        </row>
        <row r="46">
          <cell r="D46" t="str">
            <v>0971399267</v>
          </cell>
          <cell r="E46" t="str">
            <v>66 to 22 mai dịch, P.Mai Dịch,Cầu Giấy,Hà Nội</v>
          </cell>
          <cell r="F46" t="str">
            <v>Bài 1: Tư vấn điều trị viêm họng - Nhà thuốc cần lưu ý gì?</v>
          </cell>
          <cell r="G46" t="str">
            <v>1/8/2020 1:02:14 PM</v>
          </cell>
          <cell r="H46" t="str">
            <v>done all</v>
          </cell>
          <cell r="I46" t="str">
            <v>done</v>
          </cell>
        </row>
        <row r="47">
          <cell r="D47" t="str">
            <v>0932344890</v>
          </cell>
          <cell r="E47" t="str">
            <v>203/1 lac long quân , P.03,Quận 11,Hồ Chí Minh</v>
          </cell>
          <cell r="F47" t="str">
            <v>Bài 1: Tư vấn điều trị viêm họng - Nhà thuốc cần lưu ý gì?</v>
          </cell>
          <cell r="G47" t="str">
            <v>11/12/2019 11:11:45 PM</v>
          </cell>
          <cell r="H47" t="str">
            <v>done all</v>
          </cell>
          <cell r="I47" t="str">
            <v>done</v>
          </cell>
        </row>
        <row r="48">
          <cell r="D48" t="str">
            <v>0856930090</v>
          </cell>
          <cell r="E48" t="str">
            <v>380P/14B Nguyễn Văn Cừ, P.Xuân Khánh,Ninh Kiều,Cần Thơ</v>
          </cell>
          <cell r="F48" t="str">
            <v>Bài 1: Tư vấn điều trị viêm họng - Nhà thuốc cần lưu ý gì?</v>
          </cell>
          <cell r="G48" t="str">
            <v>12/22/2019 5:29:19 PM</v>
          </cell>
          <cell r="H48" t="str">
            <v>done all</v>
          </cell>
          <cell r="I48" t="str">
            <v>done</v>
          </cell>
        </row>
        <row r="49">
          <cell r="D49" t="str">
            <v>0962541648</v>
          </cell>
          <cell r="E49" t="str">
            <v>169 Mai Hac De, P.Lê Đại Hành,Hai Bà Trưng,Hà Nội</v>
          </cell>
          <cell r="F49" t="str">
            <v>Bài 1: Tư vấn điều trị viêm họng - Nhà thuốc cần lưu ý gì?</v>
          </cell>
          <cell r="G49" t="str">
            <v>12/27/2019 10:58:29 AM</v>
          </cell>
          <cell r="H49" t="str">
            <v>done all</v>
          </cell>
          <cell r="I49" t="str">
            <v>done</v>
          </cell>
        </row>
        <row r="50">
          <cell r="D50" t="str">
            <v>0979379730</v>
          </cell>
          <cell r="E50" t="str">
            <v>28 Đội Cấn, P.Đội Cấn,Ba Đình,Hà Nội</v>
          </cell>
          <cell r="F50" t="str">
            <v>Tư vấn điều trị viêm họng: Nhà thuốc cần lưu ý gì?</v>
          </cell>
          <cell r="G50" t="str">
            <v>10/15/2019 2:29:07 PM</v>
          </cell>
          <cell r="H50" t="str">
            <v>done all</v>
          </cell>
          <cell r="I50" t="str">
            <v>done</v>
          </cell>
        </row>
        <row r="51">
          <cell r="D51" t="str">
            <v>0912174547</v>
          </cell>
          <cell r="E51" t="str">
            <v>1/1, ấp An Hòa, P.Hóa An,Biên Hòa,Đồng Nai</v>
          </cell>
          <cell r="F51" t="str">
            <v>Bài 1: Tư vấn điều trị viêm họng - Nhà thuốc cần lưu ý gì?</v>
          </cell>
          <cell r="G51" t="str">
            <v>12/11/2019 4:46:12 PM</v>
          </cell>
          <cell r="H51" t="str">
            <v>done all</v>
          </cell>
          <cell r="I51" t="str">
            <v>done</v>
          </cell>
        </row>
        <row r="52">
          <cell r="D52" t="str">
            <v>0967861178</v>
          </cell>
          <cell r="E52" t="str">
            <v>132, P.Phùng,Đan Phượng,Hà Nội</v>
          </cell>
          <cell r="F52" t="str">
            <v>Bài 1: Tư vấn điều trị viêm họng - Nhà thuốc cần lưu ý gì?</v>
          </cell>
          <cell r="G52" t="str">
            <v>12/27/2019 8:36:30 PM</v>
          </cell>
          <cell r="H52" t="str">
            <v>done 1 lession</v>
          </cell>
          <cell r="I52" t="str">
            <v>done</v>
          </cell>
        </row>
        <row r="53">
          <cell r="D53" t="str">
            <v>0383720189</v>
          </cell>
          <cell r="E53" t="str">
            <v>Số 4, ngõ 58, phố trần bình, P.Mai Dịch,Cầu Giấy,Hà Nội</v>
          </cell>
          <cell r="F53" t="str">
            <v>Bài 1: Tư vấn điều trị viêm họng - Nhà thuốc cần lưu ý gì?</v>
          </cell>
          <cell r="G53" t="str">
            <v>12/27/2019 12:20:23 PM</v>
          </cell>
          <cell r="H53" t="str">
            <v>done 3 lession</v>
          </cell>
          <cell r="I53" t="str">
            <v>done</v>
          </cell>
        </row>
        <row r="54">
          <cell r="D54" t="str">
            <v>0342826369</v>
          </cell>
          <cell r="E54" t="str">
            <v>176A Thống Nhất, P.Phương Sài,Nha Trang,Khánh Hòa</v>
          </cell>
          <cell r="F54" t="str">
            <v>Bài 1: Tư vấn điều trị viêm họng - Nhà thuốc cần lưu ý gì?</v>
          </cell>
          <cell r="G54" t="str">
            <v>11/5/2019 10:43:07 PM</v>
          </cell>
          <cell r="H54" t="str">
            <v>done all</v>
          </cell>
          <cell r="I54" t="str">
            <v>done</v>
          </cell>
        </row>
        <row r="55">
          <cell r="D55" t="str">
            <v>033650324</v>
          </cell>
          <cell r="E55" t="str">
            <v>45/295 bạch mai, P.Bạch Mai,Hai Bà Trưng,Hà Nội</v>
          </cell>
          <cell r="F55" t="str">
            <v>Bài 1: Tư vấn điều trị viêm họng - Nhà thuốc cần lưu ý gì?</v>
          </cell>
          <cell r="G55" t="str">
            <v>12/27/2019 10:30:33 AM</v>
          </cell>
          <cell r="H55" t="str">
            <v>done all</v>
          </cell>
          <cell r="I55" t="str">
            <v>done</v>
          </cell>
        </row>
        <row r="56">
          <cell r="D56" t="str">
            <v>0358526172</v>
          </cell>
          <cell r="E56" t="str">
            <v>106H4, P.Thành Công,Ba Đình,Hà Nội</v>
          </cell>
          <cell r="F56" t="str">
            <v>Bài 1: Tư vấn điều trị viêm họng - Nhà thuốc cần lưu ý gì?</v>
          </cell>
          <cell r="G56" t="str">
            <v>12/25/2019 12:19:04 PM</v>
          </cell>
          <cell r="H56" t="str">
            <v>done all</v>
          </cell>
          <cell r="I56" t="str">
            <v>done</v>
          </cell>
        </row>
        <row r="57">
          <cell r="D57" t="str">
            <v>0946344242</v>
          </cell>
          <cell r="E57" t="str">
            <v>2B KV Thạnh Mỹ, P.Thường Thạnh,Cái Răng,Cần Thơ</v>
          </cell>
          <cell r="F57" t="str">
            <v>Bài 1: Tư vấn điều trị viêm họng - Nhà thuốc cần lưu ý gì?</v>
          </cell>
          <cell r="G57" t="str">
            <v>11/25/2019 3:39:12 PM</v>
          </cell>
          <cell r="H57" t="str">
            <v>done all</v>
          </cell>
          <cell r="I57" t="str">
            <v>done</v>
          </cell>
        </row>
        <row r="58">
          <cell r="D58" t="str">
            <v>0975384392</v>
          </cell>
          <cell r="E58" t="str">
            <v>15b1 , P.Thành Công,Ba Đình,Hà Nội</v>
          </cell>
          <cell r="F58" t="str">
            <v>Bài 1: Tư vấn điều trị viêm họng - Nhà thuốc cần lưu ý gì?</v>
          </cell>
          <cell r="G58" t="str">
            <v>12/28/2019 2:28:44 PM</v>
          </cell>
          <cell r="H58" t="str">
            <v>done all</v>
          </cell>
          <cell r="I58" t="str">
            <v>done</v>
          </cell>
        </row>
        <row r="59">
          <cell r="D59" t="str">
            <v>0834377770</v>
          </cell>
          <cell r="E59" t="str">
            <v>25 lý tự trọng , P.Tân An,Buôn Ma Thuột,Đắk Lắk</v>
          </cell>
          <cell r="F59" t="str">
            <v>Bài 1: Tư vấn điều trị viêm họng - Nhà thuốc cần lưu ý gì?</v>
          </cell>
          <cell r="G59" t="str">
            <v>1/2/2020 4:31:44 PM</v>
          </cell>
          <cell r="H59" t="str">
            <v>done all</v>
          </cell>
          <cell r="I59" t="str">
            <v>done</v>
          </cell>
        </row>
        <row r="60">
          <cell r="D60" t="str">
            <v>0988192916</v>
          </cell>
          <cell r="E60" t="str">
            <v>233 đường thanh nhàn , P.Thanh Nhàn,Hai Bà Trưng,Hà Nội</v>
          </cell>
          <cell r="F60" t="str">
            <v>Bài 1: Tư vấn điều trị viêm họng - Nhà thuốc cần lưu ý gì?</v>
          </cell>
          <cell r="G60" t="str">
            <v>12/27/2019 9:54:07 AM</v>
          </cell>
          <cell r="H60" t="str">
            <v>done all</v>
          </cell>
          <cell r="I60" t="str">
            <v>done</v>
          </cell>
        </row>
        <row r="61">
          <cell r="D61" t="str">
            <v>0375231202</v>
          </cell>
          <cell r="E61" t="str">
            <v>79 trương Định, P.Trương Định,Hai Bà Trưng,Hà Nội</v>
          </cell>
          <cell r="F61" t="str">
            <v>Bài 1: Tư vấn điều trị viêm họng - Nhà thuốc cần lưu ý gì?</v>
          </cell>
          <cell r="G61" t="str">
            <v>12/19/2019 12:58:59 PM</v>
          </cell>
          <cell r="H61" t="str">
            <v>done all</v>
          </cell>
          <cell r="I61" t="str">
            <v>done</v>
          </cell>
        </row>
        <row r="62">
          <cell r="D62" t="str">
            <v>0982601483</v>
          </cell>
          <cell r="E62" t="str">
            <v>8/10b, đường Huỳnh Văn Nghệ, P.Bửu Long,Biên Hòa,Đồng Nai</v>
          </cell>
          <cell r="F62" t="str">
            <v>Bài 1: Tư vấn điều trị viêm họng - Nhà thuốc cần lưu ý gì?</v>
          </cell>
          <cell r="G62" t="str">
            <v>11/12/2019 8:39:16 AM</v>
          </cell>
          <cell r="H62" t="str">
            <v>done all</v>
          </cell>
          <cell r="I62" t="str">
            <v>done</v>
          </cell>
        </row>
        <row r="63">
          <cell r="D63" t="str">
            <v>0934031747</v>
          </cell>
          <cell r="E63" t="str">
            <v>Huỳnh văn nghệ, P.Bửu Long,Biên Hòa,Đồng Nai</v>
          </cell>
          <cell r="F63" t="str">
            <v>Bài 1: Tư vấn điều trị viêm họng - Nhà thuốc cần lưu ý gì?</v>
          </cell>
          <cell r="G63" t="str">
            <v>10/30/2019 11:45:17 AM</v>
          </cell>
          <cell r="H63" t="str">
            <v>done all</v>
          </cell>
          <cell r="I63" t="str">
            <v>done</v>
          </cell>
        </row>
        <row r="64">
          <cell r="D64" t="str">
            <v>0982028315</v>
          </cell>
          <cell r="E64" t="str">
            <v>5 nguyễn quý đức, P.Thanh Xuân Bắc,Thanh Xuân,Hà Nội</v>
          </cell>
          <cell r="F64" t="str">
            <v>Bài 1: Tư vấn điều trị viêm họng - Nhà thuốc cần lưu ý gì?</v>
          </cell>
          <cell r="G64" t="str">
            <v>12/26/2019 5:30:30 PM</v>
          </cell>
          <cell r="H64" t="str">
            <v>done all</v>
          </cell>
          <cell r="I64" t="str">
            <v>done</v>
          </cell>
        </row>
        <row r="65">
          <cell r="D65" t="str">
            <v>0987074092</v>
          </cell>
          <cell r="E65" t="str">
            <v>266 Lê Thanh Nghị, P.Đồng Tâm,Hai Bà Trưng,Hà Nội</v>
          </cell>
          <cell r="F65" t="str">
            <v>Bài 1: Tư vấn điều trị viêm họng - Nhà thuốc cần lưu ý gì?</v>
          </cell>
          <cell r="G65" t="str">
            <v>11/25/2019 5:12:33 PM</v>
          </cell>
          <cell r="H65" t="str">
            <v>done all</v>
          </cell>
          <cell r="I65" t="str">
            <v>done</v>
          </cell>
        </row>
        <row r="66">
          <cell r="D66" t="str">
            <v>0907469232</v>
          </cell>
          <cell r="E66" t="str">
            <v>Cạnh 335B|1,KV 4,, P.An Khánh,Ninh Kiều,Cần Thơ</v>
          </cell>
          <cell r="F66" t="str">
            <v>Bài 1: Tư vấn điều trị viêm họng - Nhà thuốc cần lưu ý gì?</v>
          </cell>
          <cell r="G66" t="str">
            <v>11/4/2019 11:07:51 AM</v>
          </cell>
          <cell r="H66" t="str">
            <v>done all</v>
          </cell>
          <cell r="I66" t="str">
            <v>done</v>
          </cell>
        </row>
        <row r="67">
          <cell r="D67" t="str">
            <v>0939650407</v>
          </cell>
          <cell r="E67" t="str">
            <v>632 đường 30/4, P.Hưng Lợi,Ninh Kiều,Cần Thơ</v>
          </cell>
          <cell r="F67" t="str">
            <v>Bài 1: Tư vấn điều trị viêm họng - Nhà thuốc cần lưu ý gì?</v>
          </cell>
          <cell r="G67" t="str">
            <v>12/18/2019 12:41:55 PM</v>
          </cell>
          <cell r="H67" t="str">
            <v>done all</v>
          </cell>
          <cell r="I67" t="str">
            <v>done</v>
          </cell>
        </row>
        <row r="68">
          <cell r="D68" t="str">
            <v>0903189079</v>
          </cell>
          <cell r="E68" t="str">
            <v>97T Trần Văn Đang, P.09,Quận 3,Hồ Chí Minh</v>
          </cell>
          <cell r="F68" t="str">
            <v>Bài 1: Tư vấn điều trị viêm họng - Nhà thuốc cần lưu ý gì?</v>
          </cell>
          <cell r="G68" t="str">
            <v>11/24/2019 7:13:26 PM</v>
          </cell>
          <cell r="H68" t="str">
            <v>done 2 lession</v>
          </cell>
          <cell r="I68" t="str">
            <v>done</v>
          </cell>
        </row>
        <row r="69">
          <cell r="D69" t="str">
            <v>0946062900</v>
          </cell>
          <cell r="E69" t="str">
            <v>To 32 khu cau xeo, P.Long Thành,Long Thành,Đồng Nai</v>
          </cell>
          <cell r="F69" t="str">
            <v>Bài 1: Tư vấn điều trị viêm họng - Nhà thuốc cần lưu ý gì?</v>
          </cell>
          <cell r="G69" t="str">
            <v>11/5/2019 12:46:17 PM</v>
          </cell>
          <cell r="H69" t="str">
            <v>done all</v>
          </cell>
          <cell r="I69" t="str">
            <v>done</v>
          </cell>
        </row>
        <row r="70">
          <cell r="D70" t="str">
            <v>0906930651</v>
          </cell>
          <cell r="E70" t="str">
            <v>134 Cách Mạng Tháng Tám, P.Bình Thủy,Bình Thuỷ,Cần Thơ</v>
          </cell>
          <cell r="F70" t="str">
            <v>Bài 1: Tư vấn điều trị viêm họng - Nhà thuốc cần lưu ý gì?</v>
          </cell>
          <cell r="G70" t="str">
            <v>12/24/2019 10:18:17 AM</v>
          </cell>
          <cell r="H70" t="str">
            <v>done all</v>
          </cell>
          <cell r="I70" t="str">
            <v>done</v>
          </cell>
        </row>
        <row r="71">
          <cell r="D71" t="str">
            <v>0945597862</v>
          </cell>
          <cell r="E71" t="str">
            <v>213 Nguyễn Văn Cừ, P.An Bình,Ninh Kiều,Cần Thơ</v>
          </cell>
          <cell r="F71" t="str">
            <v>Bài 1: Tư vấn điều trị viêm họng - Nhà thuốc cần lưu ý gì?</v>
          </cell>
          <cell r="G71" t="str">
            <v>11/11/2019 11:59:02 AM</v>
          </cell>
          <cell r="H71" t="str">
            <v>done all</v>
          </cell>
          <cell r="I71" t="str">
            <v>done</v>
          </cell>
        </row>
        <row r="72">
          <cell r="D72" t="str">
            <v>0773455216</v>
          </cell>
          <cell r="E72" t="str">
            <v>399 Hai Bà Trưng - P.8, P.Vĩnh Hoà,Nha Trang,Khánh Hòa</v>
          </cell>
          <cell r="F72" t="str">
            <v>Tư vấn điều trị viêm họng: Nhà thuốc cần lưu ý gì?</v>
          </cell>
          <cell r="G72" t="str">
            <v>10/11/2019 8:00:56 PM</v>
          </cell>
          <cell r="H72" t="str">
            <v>done 1 lession</v>
          </cell>
          <cell r="I72" t="str">
            <v>done</v>
          </cell>
        </row>
        <row r="73">
          <cell r="D73" t="str">
            <v>0377446330</v>
          </cell>
          <cell r="E73" t="str">
            <v>65 Mã Mây, P.Hàng Buồm,Hoàn Kiếm,Hà Nội</v>
          </cell>
          <cell r="F73" t="str">
            <v>Bài 1: Tư vấn điều trị viêm họng - Nhà thuốc cần lưu ý gì?</v>
          </cell>
          <cell r="G73" t="str">
            <v>1/8/2020 8:58:39 PM</v>
          </cell>
          <cell r="H73" t="str">
            <v>done all</v>
          </cell>
          <cell r="I73" t="str">
            <v>done</v>
          </cell>
        </row>
        <row r="74">
          <cell r="D74" t="str">
            <v>0973701339</v>
          </cell>
          <cell r="E74" t="str">
            <v>Kiot7  CT4A KDT Xa La, P.Phúc La,Hà Đông,Hà Nội</v>
          </cell>
          <cell r="F74" t="str">
            <v>Bài 1: Tư vấn điều trị viêm họng - Nhà thuốc cần lưu ý gì?</v>
          </cell>
          <cell r="G74" t="str">
            <v>12/27/2019 8:22:04 PM</v>
          </cell>
          <cell r="H74" t="str">
            <v>done 1 lession</v>
          </cell>
          <cell r="I74" t="str">
            <v>done</v>
          </cell>
        </row>
        <row r="75">
          <cell r="D75" t="str">
            <v>0961729669</v>
          </cell>
          <cell r="E75" t="str">
            <v>Số 6 Trương Định, P.Trương Định,Hai Bà Trưng,Hà Nội</v>
          </cell>
          <cell r="F75" t="str">
            <v>Bài 1: Tư vấn điều trị viêm họng - Nhà thuốc cần lưu ý gì?</v>
          </cell>
          <cell r="G75" t="str">
            <v>11/5/2019 9:29:56 AM</v>
          </cell>
          <cell r="H75" t="str">
            <v>done all</v>
          </cell>
          <cell r="I75" t="str">
            <v>done</v>
          </cell>
        </row>
        <row r="76">
          <cell r="D76" t="str">
            <v>0354399713</v>
          </cell>
          <cell r="E76" t="str">
            <v>số 28,phố trung hòa,tổ 18,phường trung hòa, P.Trung Hoà,Cầu Giấy,Hà Nội</v>
          </cell>
          <cell r="F76" t="str">
            <v>Bài 1: Tư vấn điều trị viêm họng - Nhà thuốc cần lưu ý gì?</v>
          </cell>
          <cell r="G76" t="str">
            <v>12/27/2019 8:52:16 PM</v>
          </cell>
          <cell r="H76" t="str">
            <v>done all</v>
          </cell>
          <cell r="I76" t="str">
            <v>done</v>
          </cell>
        </row>
        <row r="77">
          <cell r="D77" t="str">
            <v>0905081777</v>
          </cell>
          <cell r="E77" t="str">
            <v>CAY SO 5, VINH THANH, NHA TRANG, P.Vĩnh Thạnh,Nha Trang,Khánh Hòa</v>
          </cell>
          <cell r="F77" t="str">
            <v>Bài 1: Tư vấn điều trị viêm họng - Nhà thuốc cần lưu ý gì?</v>
          </cell>
          <cell r="G77" t="str">
            <v>12/22/2019 4:48:42 PM</v>
          </cell>
          <cell r="H77" t="str">
            <v>done all</v>
          </cell>
          <cell r="I77" t="str">
            <v>done</v>
          </cell>
        </row>
        <row r="78">
          <cell r="D78" t="str">
            <v>0379175142</v>
          </cell>
          <cell r="E78" t="str">
            <v>299 phan xich long p1 Q PN, P.01,Phú Nhuận,Hồ Chí Minh</v>
          </cell>
          <cell r="F78" t="str">
            <v>Bài 1: Tư vấn điều trị viêm họng - Nhà thuốc cần lưu ý gì?</v>
          </cell>
          <cell r="G78" t="str">
            <v>1/7/2020 3:39:26 PM</v>
          </cell>
          <cell r="H78" t="e">
            <v>#N/A</v>
          </cell>
          <cell r="I78" t="str">
            <v>done</v>
          </cell>
        </row>
        <row r="79">
          <cell r="D79" t="str">
            <v>00973378880</v>
          </cell>
          <cell r="E79" t="str">
            <v>14 Trần Nhân Tông, P.Nguyễn Du,Hai Bà Trưng,Hà Nội</v>
          </cell>
          <cell r="F79" t="str">
            <v>Bài 1: Tư vấn điều trị viêm họng - Nhà thuốc cần lưu ý gì?</v>
          </cell>
          <cell r="G79" t="str">
            <v>11/4/2019 2:11:28 PM</v>
          </cell>
          <cell r="H79" t="str">
            <v>done 1 lession</v>
          </cell>
          <cell r="I79" t="str">
            <v>done</v>
          </cell>
        </row>
        <row r="80">
          <cell r="D80" t="str">
            <v>0335720009</v>
          </cell>
          <cell r="E80" t="str">
            <v>626 Minh Khai, P.Vĩnh Tuy,Hai Bà Trưng,Hà Nội</v>
          </cell>
          <cell r="F80" t="str">
            <v>Bài 1: Tư vấn điều trị viêm họng - Nhà thuốc cần lưu ý gì?</v>
          </cell>
          <cell r="G80" t="str">
            <v>12/26/2019 2:59:32 PM</v>
          </cell>
          <cell r="H80" t="str">
            <v>done all</v>
          </cell>
          <cell r="I80" t="str">
            <v>done</v>
          </cell>
        </row>
        <row r="81">
          <cell r="D81" t="str">
            <v>0941600819</v>
          </cell>
          <cell r="E81" t="str">
            <v>152-154 đường B21, Khu dân cư 91B, An Khánh, Ninh Kiều, thành phố Cần Thơ, P.An Khánh,Ninh Kiều,Cần Thơ</v>
          </cell>
          <cell r="F81" t="str">
            <v>Bài 1: Tư vấn điều trị viêm họng - Nhà thuốc cần lưu ý gì?</v>
          </cell>
          <cell r="G81" t="str">
            <v>12/19/2019 7:54:49 AM</v>
          </cell>
          <cell r="H81" t="str">
            <v>done all</v>
          </cell>
          <cell r="I81" t="str">
            <v>done</v>
          </cell>
        </row>
        <row r="82">
          <cell r="D82" t="str">
            <v>0903105155</v>
          </cell>
          <cell r="E82" t="str">
            <v>19 HO BA KIEN, PHUONG 15, P.15,Quận 10,Hồ Chí Minh</v>
          </cell>
          <cell r="F82" t="str">
            <v>Bài 1: Tư vấn điều trị viêm họng - Nhà thuốc cần lưu ý gì?</v>
          </cell>
          <cell r="G82" t="str">
            <v>12/24/2019 11:20:54 AM</v>
          </cell>
          <cell r="H82" t="str">
            <v>done all</v>
          </cell>
          <cell r="I82" t="str">
            <v>done</v>
          </cell>
        </row>
        <row r="83">
          <cell r="D83" t="str">
            <v>0902029096</v>
          </cell>
          <cell r="E83" t="str">
            <v>317A TO 10- NGUYEN VAN LINH- P. AN KHANH, P.An Khánh,Ninh Kiều,Cần Thơ</v>
          </cell>
          <cell r="F83" t="str">
            <v>Bài 1: Tư vấn điều trị viêm họng - Nhà thuốc cần lưu ý gì?</v>
          </cell>
          <cell r="G83" t="str">
            <v>12/21/2019 9:38:43 AM</v>
          </cell>
          <cell r="H83" t="str">
            <v>done all</v>
          </cell>
          <cell r="I83" t="str">
            <v>done</v>
          </cell>
        </row>
        <row r="84">
          <cell r="D84" t="str">
            <v>0906726308</v>
          </cell>
          <cell r="E84" t="str">
            <v>98/12c vo thi sau , P.Quyết Thắng,Biên Hòa,Đồng Nai</v>
          </cell>
          <cell r="F84" t="str">
            <v>Bài 1: Tư vấn điều trị viêm họng - Nhà thuốc cần lưu ý gì?</v>
          </cell>
          <cell r="G84" t="str">
            <v>11/5/2019 10:15:22 AM</v>
          </cell>
          <cell r="H84" t="str">
            <v>done all</v>
          </cell>
          <cell r="I84" t="str">
            <v>done</v>
          </cell>
        </row>
        <row r="85">
          <cell r="D85" t="str">
            <v>0945707337</v>
          </cell>
          <cell r="E85" t="str">
            <v>27 Nguyễn Hiền, P.An Khánh,Ninh Kiều,Cần Thơ</v>
          </cell>
          <cell r="F85" t="str">
            <v>Bài 1: Tư vấn điều trị viêm họng - Nhà thuốc cần lưu ý gì?</v>
          </cell>
          <cell r="G85" t="str">
            <v>12/27/2019 6:54:51 PM</v>
          </cell>
          <cell r="H85" t="str">
            <v>done all</v>
          </cell>
          <cell r="I85" t="str">
            <v>done</v>
          </cell>
        </row>
        <row r="86">
          <cell r="D86" t="str">
            <v>0907281808</v>
          </cell>
          <cell r="E86" t="str">
            <v>50, P.Bến Nghé,Quận 1,Hồ Chí Minh</v>
          </cell>
          <cell r="F86" t="str">
            <v>Bài 1: Tư vấn điều trị viêm họng - Nhà thuốc cần lưu ý gì?</v>
          </cell>
          <cell r="G86" t="str">
            <v>12/21/2019 6:09:40 PM</v>
          </cell>
          <cell r="H86" t="str">
            <v>done all</v>
          </cell>
          <cell r="I86" t="str">
            <v>done</v>
          </cell>
        </row>
        <row r="87">
          <cell r="D87" t="str">
            <v>0397266640</v>
          </cell>
          <cell r="E87" t="str">
            <v>105/168 , P.Ngọc Khánh,Ba Đình,Hà Nội</v>
          </cell>
          <cell r="F87" t="str">
            <v>Bài 1: Tư vấn điều trị viêm họng - Nhà thuốc cần lưu ý gì?</v>
          </cell>
          <cell r="G87" t="str">
            <v>12/27/2019 12:06:45 PM</v>
          </cell>
          <cell r="H87" t="str">
            <v>done 3 lession</v>
          </cell>
          <cell r="I87" t="str">
            <v>done</v>
          </cell>
        </row>
        <row r="88">
          <cell r="D88" t="str">
            <v>0965983541</v>
          </cell>
          <cell r="E88" t="str">
            <v>15b1, P.Thành Công,Ba Đình,Hà Nội</v>
          </cell>
          <cell r="F88" t="str">
            <v>Bài 1: Tư vấn điều trị viêm họng - Nhà thuốc cần lưu ý gì?</v>
          </cell>
          <cell r="G88" t="str">
            <v>12/28/2019 2:44:24 PM</v>
          </cell>
          <cell r="H88" t="str">
            <v>done all</v>
          </cell>
          <cell r="I88" t="str">
            <v>done</v>
          </cell>
        </row>
        <row r="89">
          <cell r="D89" t="str">
            <v>0943035757</v>
          </cell>
          <cell r="E89" t="str">
            <v>208 ymoan, P.Tân Lợi,Buôn Ma Thuột,Đắk Lắk</v>
          </cell>
          <cell r="F89" t="str">
            <v>Bài 1: Tư vấn điều trị viêm họng - Nhà thuốc cần lưu ý gì?</v>
          </cell>
          <cell r="G89" t="str">
            <v>1/2/2020 12:03:00 PM</v>
          </cell>
          <cell r="H89" t="str">
            <v>done all</v>
          </cell>
          <cell r="I89" t="str">
            <v>done</v>
          </cell>
        </row>
        <row r="90">
          <cell r="D90" t="str">
            <v>02623812452</v>
          </cell>
          <cell r="E90" t="str">
            <v>01 lý thường kiệt, P.Tân Tiến,Buôn Ma Thuột,Đắk Lắk</v>
          </cell>
          <cell r="F90" t="str">
            <v>Bài 1: Tư vấn điều trị viêm họng - Nhà thuốc cần lưu ý gì?</v>
          </cell>
          <cell r="G90" t="str">
            <v>1/3/2020 3:32:39 PM</v>
          </cell>
          <cell r="H90" t="str">
            <v>done all</v>
          </cell>
          <cell r="I90" t="str">
            <v>done</v>
          </cell>
        </row>
        <row r="91">
          <cell r="D91" t="str">
            <v>0855005599</v>
          </cell>
          <cell r="E91" t="str">
            <v>Thành thái, P.Bình Khánh,Long Xuyên,An Giang</v>
          </cell>
          <cell r="F91" t="str">
            <v>Bài 1: Tư vấn điều trị viêm họng - Nhà thuốc cần lưu ý gì?</v>
          </cell>
          <cell r="G91" t="str">
            <v>11/18/2019 5:50:37 PM</v>
          </cell>
          <cell r="H91" t="str">
            <v>done 1 lession</v>
          </cell>
          <cell r="I91" t="str">
            <v>done</v>
          </cell>
        </row>
        <row r="92">
          <cell r="D92" t="str">
            <v>0914467890</v>
          </cell>
          <cell r="E92" t="str">
            <v>131 hoang dieu, P.Thống Nhất,Buôn Ma Thuột,Đắk Lắk</v>
          </cell>
          <cell r="F92" t="str">
            <v>Bài 1: Tư vấn điều trị viêm họng - Nhà thuốc cần lưu ý gì?</v>
          </cell>
          <cell r="G92" t="str">
            <v>10/24/2019 2:34:54 PM</v>
          </cell>
          <cell r="H92" t="str">
            <v>done 1 lession</v>
          </cell>
          <cell r="I92" t="str">
            <v>done</v>
          </cell>
        </row>
        <row r="93">
          <cell r="D93" t="str">
            <v>0847643906</v>
          </cell>
          <cell r="E93" t="str">
            <v>77 Hưng Đạo Vương, P.Quyết Thắng,Biên Hòa,Đồng Nai</v>
          </cell>
          <cell r="F93" t="str">
            <v>Bài 1: Tư vấn điều trị viêm họng - Nhà thuốc cần lưu ý gì?</v>
          </cell>
          <cell r="G93" t="str">
            <v>11/5/2019 9:27:16 AM</v>
          </cell>
          <cell r="H93" t="str">
            <v>done 1 lession</v>
          </cell>
          <cell r="I93" t="str">
            <v>done</v>
          </cell>
        </row>
        <row r="94">
          <cell r="D94" t="str">
            <v>0915559667</v>
          </cell>
          <cell r="E94" t="str">
            <v>110,Tổ 9,kp 8, P.Vĩnh An,Vĩnh Cửu,Đồng Nai</v>
          </cell>
          <cell r="F94" t="str">
            <v>Bài 1: Tư vấn điều trị viêm họng - Nhà thuốc cần lưu ý gì?</v>
          </cell>
          <cell r="G94" t="str">
            <v>11/7/2019 9:35:15 AM</v>
          </cell>
          <cell r="H94" t="str">
            <v>done 3 lession</v>
          </cell>
          <cell r="I94" t="str">
            <v>done</v>
          </cell>
        </row>
        <row r="95">
          <cell r="D95" t="str">
            <v>0912075607</v>
          </cell>
          <cell r="E95" t="str">
            <v>76 Bát Sứ, P.Hàng Bồ,Hoàn Kiếm,Hà Nội</v>
          </cell>
          <cell r="F95" t="str">
            <v>Bài 1: Tư vấn điều trị viêm họng - Nhà thuốc cần lưu ý gì?</v>
          </cell>
          <cell r="G95" t="str">
            <v>1/8/2020 9:01:46 PM</v>
          </cell>
          <cell r="H95" t="str">
            <v>done all</v>
          </cell>
          <cell r="I95" t="str">
            <v>done</v>
          </cell>
        </row>
        <row r="96">
          <cell r="D96" t="str">
            <v>0904607465</v>
          </cell>
          <cell r="E96" t="str">
            <v>36, P.Vân Canh,Hoài Đức,Hà Nội</v>
          </cell>
          <cell r="F96" t="str">
            <v>Bài 1: Tư vấn điều trị viêm họng - Nhà thuốc cần lưu ý gì?</v>
          </cell>
          <cell r="G96" t="str">
            <v>10/20/2019 7:59:20 AM</v>
          </cell>
          <cell r="H96" t="str">
            <v>done 1 lession</v>
          </cell>
          <cell r="I96" t="str">
            <v>done</v>
          </cell>
        </row>
        <row r="97">
          <cell r="D97" t="str">
            <v>01644047086</v>
          </cell>
          <cell r="E97" t="str">
            <v>Vườn Chuối, P.04, Quận 3, Hồ Chí Minh</v>
          </cell>
          <cell r="F97" t="str">
            <v>Bài 1: Tư vấn điều trị viêm họng - Nhà thuốc cần lưu ý gì?</v>
          </cell>
          <cell r="G97" t="str">
            <v>1/14/2020 3:32:09 PM</v>
          </cell>
          <cell r="H97" t="e">
            <v>#N/A</v>
          </cell>
          <cell r="I97" t="str">
            <v>done</v>
          </cell>
        </row>
        <row r="98">
          <cell r="D98" t="str">
            <v>0985733759</v>
          </cell>
          <cell r="E98" t="str">
            <v>169 Hồng mai, P.Quỳnh Lôi,Hai Bà Trưng,Hà Nội</v>
          </cell>
          <cell r="F98" t="str">
            <v>Bài 1: Tư vấn điều trị viêm họng - Nhà thuốc cần lưu ý gì?</v>
          </cell>
          <cell r="G98" t="str">
            <v>11/5/2019 10:01:13 AM</v>
          </cell>
          <cell r="H98" t="str">
            <v>done all</v>
          </cell>
          <cell r="I98" t="str">
            <v>done</v>
          </cell>
        </row>
        <row r="99">
          <cell r="D99" t="str">
            <v>0938748038</v>
          </cell>
          <cell r="E99" t="str">
            <v>104 y jut, P.Thắng Lợi,Buôn Ma Thuột,Đắk Lắk</v>
          </cell>
          <cell r="F99" t="str">
            <v>Bài 1: Tư vấn điều trị viêm họng - Nhà thuốc cần lưu ý gì?</v>
          </cell>
          <cell r="G99" t="str">
            <v>10/25/2019 1:03:59 PM</v>
          </cell>
          <cell r="H99" t="str">
            <v>done 1 lession</v>
          </cell>
          <cell r="I99" t="str">
            <v>done</v>
          </cell>
        </row>
        <row r="100">
          <cell r="D100" t="str">
            <v>0943969515</v>
          </cell>
          <cell r="E100" t="str">
            <v>19, P.Văn Miếu,Đống Đa,Hà Nội</v>
          </cell>
          <cell r="F100" t="str">
            <v>Tư vấn điều trị viêm họng: Nhà thuốc cần lưu ý gì?</v>
          </cell>
          <cell r="G100" t="str">
            <v>10/15/2019 2:50:00 PM</v>
          </cell>
          <cell r="H100" t="str">
            <v>done 1 lession</v>
          </cell>
          <cell r="I100" t="str">
            <v>done</v>
          </cell>
        </row>
        <row r="101">
          <cell r="D101" t="str">
            <v>0939434998</v>
          </cell>
          <cell r="E101" t="str">
            <v>24/14 Trần Việt Châu, P.An Hòa,Ninh Kiều,Cần Thơ</v>
          </cell>
          <cell r="F101" t="str">
            <v>Bài 1: Tư vấn điều trị viêm họng - Nhà thuốc cần lưu ý gì?</v>
          </cell>
          <cell r="G101" t="str">
            <v>11/4/2019 9:48:18 AM</v>
          </cell>
          <cell r="H101" t="str">
            <v>done all</v>
          </cell>
          <cell r="I101" t="str">
            <v>done</v>
          </cell>
        </row>
        <row r="102">
          <cell r="D102" t="str">
            <v>0915484687</v>
          </cell>
          <cell r="E102" t="str">
            <v>Phạm Văn Thuận, P.Tam Hiệp,Biên Hòa,Đồng Nai</v>
          </cell>
          <cell r="F102" t="str">
            <v>Bài 1: Tư vấn điều trị viêm họng - Nhà thuốc cần lưu ý gì?</v>
          </cell>
          <cell r="G102" t="str">
            <v>11/4/2019 10:57:53 AM</v>
          </cell>
          <cell r="H102" t="str">
            <v>done all</v>
          </cell>
          <cell r="I102" t="str">
            <v>done</v>
          </cell>
        </row>
        <row r="103">
          <cell r="D103" t="str">
            <v>0387758349</v>
          </cell>
          <cell r="E103" t="str">
            <v>tổ 6khu phố 1 phường long binh , P.Long Bình,Biên Hòa,Đồng Nai</v>
          </cell>
          <cell r="F103" t="str">
            <v>Bài 1: Tư vấn điều trị viêm họng - Nhà thuốc cần lưu ý gì?</v>
          </cell>
          <cell r="G103" t="str">
            <v>11/4/2019 11:39:06 AM</v>
          </cell>
          <cell r="H103" t="str">
            <v>done 2 lession</v>
          </cell>
          <cell r="I103" t="str">
            <v>done</v>
          </cell>
        </row>
        <row r="104">
          <cell r="D104" t="str">
            <v>0907270670</v>
          </cell>
          <cell r="E104" t="str">
            <v>180 Nguyễn An Ninh, P.Tân An,Ninh Kiều,Cần Thơ</v>
          </cell>
          <cell r="F104" t="str">
            <v>Bài 1: Tư vấn điều trị viêm họng - Nhà thuốc cần lưu ý gì?</v>
          </cell>
          <cell r="G104" t="str">
            <v>11/28/2019 8:44:39 AM</v>
          </cell>
          <cell r="H104" t="str">
            <v>done 2 lession</v>
          </cell>
          <cell r="I104" t="str">
            <v>done</v>
          </cell>
        </row>
        <row r="105">
          <cell r="D105" t="str">
            <v>0935668000</v>
          </cell>
          <cell r="E105" t="str">
            <v>19A đường 2/4, P.Vĩnh Phước,Nha Trang,Khánh Hòa</v>
          </cell>
          <cell r="F105" t="str">
            <v>Bài 1: Tư vấn điều trị viêm họng - Nhà thuốc cần lưu ý gì?</v>
          </cell>
          <cell r="G105" t="str">
            <v>12/17/2019 12:36:44 PM</v>
          </cell>
          <cell r="H105" t="str">
            <v>done 1 lession</v>
          </cell>
          <cell r="I105" t="str">
            <v>done</v>
          </cell>
        </row>
        <row r="106">
          <cell r="D106" t="str">
            <v>0912611187</v>
          </cell>
          <cell r="E106" t="str">
            <v>135 trần quốc hoàn, P.Dịch Vọng Hậu,Cầu Giấy,Hà Nội</v>
          </cell>
          <cell r="F106" t="str">
            <v>Bài 1: Tư vấn điều trị viêm họng - Nhà thuốc cần lưu ý gì?</v>
          </cell>
          <cell r="G106" t="str">
            <v>11/15/2019 9:52:38 PM</v>
          </cell>
          <cell r="H106" t="str">
            <v>done 1 lession</v>
          </cell>
          <cell r="I106" t="str">
            <v>done</v>
          </cell>
        </row>
        <row r="107">
          <cell r="D107" t="str">
            <v>0933455511</v>
          </cell>
          <cell r="E107" t="str">
            <v>10/3B khu phố 11, P.Tân Hòa,Biên Hòa,Đồng Nai</v>
          </cell>
          <cell r="F107" t="str">
            <v>Bài 1: Tư vấn điều trị viêm họng - Nhà thuốc cần lưu ý gì?</v>
          </cell>
          <cell r="G107" t="str">
            <v>12/20/2019 3:48:11 PM</v>
          </cell>
          <cell r="H107" t="str">
            <v>done 1 lession</v>
          </cell>
          <cell r="I107" t="str">
            <v>done</v>
          </cell>
        </row>
        <row r="108">
          <cell r="D108" t="str">
            <v>0916542253</v>
          </cell>
          <cell r="E108" t="str">
            <v>23 hòn nghê, P.Vĩnh Ngọc,Nha Trang,Khánh Hòa</v>
          </cell>
          <cell r="F108" t="str">
            <v>Bài 1: Tư vấn điều trị viêm họng - Nhà thuốc cần lưu ý gì?</v>
          </cell>
          <cell r="G108" t="str">
            <v>11/7/2019 10:05:26 PM</v>
          </cell>
          <cell r="H108" t="str">
            <v>done all</v>
          </cell>
          <cell r="I108" t="str">
            <v>done</v>
          </cell>
        </row>
        <row r="109">
          <cell r="D109" t="str">
            <v>0909346986</v>
          </cell>
          <cell r="E109" t="str">
            <v>tổ 2 thôn phú trung, P.Vĩnh Thạnh,Nha Trang,Khánh Hòa</v>
          </cell>
          <cell r="F109" t="str">
            <v>Bài 1: Tư vấn điều trị viêm họng - Nhà thuốc cần lưu ý gì?</v>
          </cell>
          <cell r="G109" t="str">
            <v>11/6/2019 3:43:35 PM</v>
          </cell>
          <cell r="H109" t="str">
            <v>done 1 lession</v>
          </cell>
          <cell r="I109" t="str">
            <v>done</v>
          </cell>
        </row>
        <row r="110">
          <cell r="D110" t="str">
            <v>0978650481</v>
          </cell>
          <cell r="E110" t="str">
            <v>105/168, P.Ngọc Khánh,Ba Đình,Hà Nội</v>
          </cell>
          <cell r="F110" t="str">
            <v>Bài 1: Tư vấn điều trị viêm họng - Nhà thuốc cần lưu ý gì?</v>
          </cell>
          <cell r="G110" t="str">
            <v>12/27/2019 12:34:57 PM</v>
          </cell>
          <cell r="H110" t="str">
            <v>done 2 lession</v>
          </cell>
          <cell r="I110" t="str">
            <v>done</v>
          </cell>
        </row>
        <row r="111">
          <cell r="D111" t="str">
            <v>0989868281</v>
          </cell>
          <cell r="E111" t="str">
            <v>15b1, P.Thành Công,Ba Đình,Hà Nội</v>
          </cell>
          <cell r="F111" t="str">
            <v>Bài 1: Tư vấn điều trị viêm họng - Nhà thuốc cần lưu ý gì?</v>
          </cell>
          <cell r="G111" t="str">
            <v>12/28/2019 2:19:44 PM</v>
          </cell>
          <cell r="H111" t="str">
            <v>done all</v>
          </cell>
          <cell r="I111" t="str">
            <v>done</v>
          </cell>
        </row>
        <row r="112">
          <cell r="D112" t="str">
            <v>0904010682</v>
          </cell>
          <cell r="E112" t="str">
            <v>212 phùng hưng, P.Phúc La,Hà Đông,Hà Nội</v>
          </cell>
          <cell r="F112" t="str">
            <v>Bài 1: Tư vấn điều trị viêm họng - Nhà thuốc cần lưu ý gì?</v>
          </cell>
          <cell r="G112" t="str">
            <v>12/27/2019 6:40:13 PM</v>
          </cell>
          <cell r="H112" t="str">
            <v>done 3 lession</v>
          </cell>
          <cell r="I112" t="str">
            <v>done</v>
          </cell>
        </row>
        <row r="113">
          <cell r="D113" t="str">
            <v>0375318796</v>
          </cell>
          <cell r="E113" t="str">
            <v>số 3 phố hoa bằng,phường yên hòa, P.Yên Hoà,Cầu Giấy,Hà Nội</v>
          </cell>
          <cell r="F113" t="str">
            <v>Bài 1: Tư vấn điều trị viêm họng - Nhà thuốc cần lưu ý gì?</v>
          </cell>
          <cell r="G113" t="str">
            <v>12/21/2019 5:23:33 PM</v>
          </cell>
          <cell r="H113" t="str">
            <v>done all</v>
          </cell>
          <cell r="I113" t="str">
            <v>done</v>
          </cell>
        </row>
        <row r="114">
          <cell r="D114" t="str">
            <v>0973118980</v>
          </cell>
          <cell r="E114" t="str">
            <v>14 Trần Nhân Tông, P.Nguyễn Du,Hai Bà Trưng,Hà Nội</v>
          </cell>
          <cell r="F114" t="str">
            <v>Tư vấn điều trị viêm họng: Nhà thuốc cần lưu ý gì?</v>
          </cell>
          <cell r="G114" t="str">
            <v>10/15/2019 2:34:51 PM</v>
          </cell>
          <cell r="H114" t="str">
            <v>done 1 lession</v>
          </cell>
          <cell r="I114" t="str">
            <v>done</v>
          </cell>
        </row>
        <row r="115">
          <cell r="D115" t="str">
            <v>0932225169</v>
          </cell>
          <cell r="E115" t="str">
            <v>120 vũ trọng phụng, P.Hạ Đình,Thanh Xuân,Hà Nội</v>
          </cell>
          <cell r="F115" t="str">
            <v>Bài 1: Tư vấn điều trị viêm họng - Nhà thuốc cần lưu ý gì?</v>
          </cell>
          <cell r="G115" t="str">
            <v>12/25/2019 5:48:02 PM</v>
          </cell>
          <cell r="H115" t="str">
            <v>done 2 lession</v>
          </cell>
          <cell r="I115" t="str">
            <v>done</v>
          </cell>
        </row>
        <row r="116">
          <cell r="D116" t="str">
            <v>0988838375</v>
          </cell>
          <cell r="E116" t="str">
            <v>Tang 1,so 145 tran dang ninh, P.Dịch Vọng,Cầu Giấy,Hà Nội</v>
          </cell>
          <cell r="F116" t="str">
            <v>Bài 1: Tư vấn điều trị viêm họng - Nhà thuốc cần lưu ý gì?</v>
          </cell>
          <cell r="G116" t="str">
            <v>1/7/2020 7:47:42 PM</v>
          </cell>
          <cell r="H116" t="str">
            <v>done all</v>
          </cell>
          <cell r="I116" t="str">
            <v>done</v>
          </cell>
        </row>
        <row r="117">
          <cell r="D117" t="str">
            <v>0937437748</v>
          </cell>
          <cell r="E117" t="str">
            <v>247 cmt 8, P.Hòa Bình,Biên Hòa,Đồng Nai</v>
          </cell>
          <cell r="F117" t="str">
            <v>Bài 1: Tư vấn điều trị viêm họng - Nhà thuốc cần lưu ý gì?</v>
          </cell>
          <cell r="G117" t="str">
            <v>11/4/2019 8:51:52 AM</v>
          </cell>
          <cell r="H117" t="str">
            <v>done 3 lession</v>
          </cell>
          <cell r="I117" t="str">
            <v>done</v>
          </cell>
        </row>
        <row r="118">
          <cell r="D118" t="str">
            <v>0939461806</v>
          </cell>
          <cell r="E118" t="str">
            <v>21C Nguyễn Văn Linh, P.Hưng Lợi,Ninh Kiều,Cần Thơ</v>
          </cell>
          <cell r="F118" t="str">
            <v>Bài 1: Tư vấn điều trị viêm họng - Nhà thuốc cần lưu ý gì?</v>
          </cell>
          <cell r="G118" t="str">
            <v>11/11/2019 3:44:24 PM</v>
          </cell>
          <cell r="H118" t="str">
            <v>done all</v>
          </cell>
          <cell r="I118" t="str">
            <v>done</v>
          </cell>
        </row>
        <row r="119">
          <cell r="D119" t="str">
            <v>0948015846</v>
          </cell>
          <cell r="E119" t="str">
            <v>325/A2 nguyen tri phương , P.Hiệp Hòa,Biên Hòa,Đồng Nai</v>
          </cell>
          <cell r="F119" t="str">
            <v>Bài 1: Tư vấn điều trị viêm họng - Nhà thuốc cần lưu ý gì?</v>
          </cell>
          <cell r="G119" t="str">
            <v>11/5/2019 9:07:28 AM</v>
          </cell>
          <cell r="H119" t="str">
            <v>done 2 lession</v>
          </cell>
          <cell r="I119" t="str">
            <v>done</v>
          </cell>
        </row>
        <row r="120">
          <cell r="D120" t="str">
            <v>0942419868</v>
          </cell>
          <cell r="E120" t="str">
            <v>21 yen lac, P.Vĩnh Tuy,Hai Bà Trưng,Hà Nội</v>
          </cell>
          <cell r="F120" t="str">
            <v>Bài 1: Tư vấn điều trị viêm họng - Nhà thuốc cần lưu ý gì?</v>
          </cell>
          <cell r="G120" t="str">
            <v>11/5/2019 11:09:39 AM</v>
          </cell>
          <cell r="H120" t="e">
            <v>#N/A</v>
          </cell>
          <cell r="I120" t="str">
            <v>done</v>
          </cell>
        </row>
        <row r="121">
          <cell r="D121" t="str">
            <v>0398267083</v>
          </cell>
          <cell r="E121" t="str">
            <v>23/44 Au Co, P.05,Bình Thạnh,Hồ Chí Minh</v>
          </cell>
          <cell r="F121" t="str">
            <v>Tư vấn điều trị viêm họng: Nhà thuốc cần lưu ý gì?</v>
          </cell>
          <cell r="G121" t="str">
            <v>10/15/2019 2:22:15 PM</v>
          </cell>
          <cell r="H121" t="str">
            <v>done 1 lession</v>
          </cell>
          <cell r="I121" t="str">
            <v>done</v>
          </cell>
        </row>
        <row r="122">
          <cell r="D122" t="str">
            <v>0834600462</v>
          </cell>
          <cell r="E122" t="str">
            <v>tổ 5, kp 5, P.Long Bình,Biên Hòa,Đồng Nai</v>
          </cell>
          <cell r="F122" t="str">
            <v>Bài 1: Tư vấn điều trị viêm họng - Nhà thuốc cần lưu ý gì?</v>
          </cell>
          <cell r="G122" t="str">
            <v>11/4/2019 11:21:36 AM</v>
          </cell>
          <cell r="H122" t="str">
            <v>done all</v>
          </cell>
          <cell r="I122" t="str">
            <v>done</v>
          </cell>
        </row>
        <row r="123">
          <cell r="D123" t="str">
            <v>0936226602</v>
          </cell>
          <cell r="E123" t="str">
            <v>160 CMT8, P.10,Quận 3,Hồ Chí Minh</v>
          </cell>
          <cell r="F123" t="str">
            <v>Bài 1: Tư vấn điều trị viêm họng - Nhà thuốc cần lưu ý gì?</v>
          </cell>
          <cell r="G123" t="str">
            <v>12/28/2019 12:11:20 PM</v>
          </cell>
          <cell r="H123" t="str">
            <v>done 1 lession</v>
          </cell>
          <cell r="I123" t="str">
            <v>done</v>
          </cell>
        </row>
        <row r="124">
          <cell r="D124" t="str">
            <v>0906779084</v>
          </cell>
          <cell r="E124" t="str">
            <v>382 Nguyễn Văn Nghi, P.07,Gò Vấp,Hồ Chí Minh</v>
          </cell>
          <cell r="F124" t="str">
            <v>Bài 1: Tư vấn điều trị viêm họng - Nhà thuốc cần lưu ý gì?</v>
          </cell>
          <cell r="G124" t="str">
            <v>11/11/2019 10:37:53 AM</v>
          </cell>
          <cell r="H124" t="str">
            <v>done all</v>
          </cell>
          <cell r="I124" t="str">
            <v>done</v>
          </cell>
        </row>
        <row r="125">
          <cell r="D125" t="str">
            <v>0986417770</v>
          </cell>
          <cell r="E125" t="str">
            <v>54/1 Hùng Vương, P.Thới Bình,Ninh Kiều,Cần Thơ</v>
          </cell>
          <cell r="F125" t="str">
            <v>Bài 1: Tư vấn điều trị viêm họng - Nhà thuốc cần lưu ý gì?</v>
          </cell>
          <cell r="G125" t="str">
            <v>10/28/2019 5:45:08 PM</v>
          </cell>
          <cell r="H125" t="str">
            <v>done all</v>
          </cell>
          <cell r="I125" t="str">
            <v>done</v>
          </cell>
        </row>
        <row r="126">
          <cell r="D126" t="str">
            <v>0902645841</v>
          </cell>
          <cell r="E126" t="str">
            <v>86 Lê Hồng Phong, P.Trà Nóc,Bình Thuỷ,Cần Thơ</v>
          </cell>
          <cell r="F126" t="str">
            <v>Bài 1: Tư vấn điều trị viêm họng - Nhà thuốc cần lưu ý gì?</v>
          </cell>
          <cell r="G126" t="str">
            <v>12/20/2019 9:31:21 AM</v>
          </cell>
          <cell r="H126" t="str">
            <v>done all</v>
          </cell>
          <cell r="I126" t="str">
            <v>done</v>
          </cell>
        </row>
        <row r="127">
          <cell r="D127" t="str">
            <v>0974591500</v>
          </cell>
          <cell r="E127" t="str">
            <v>212 trần quý cáp, P.Ninh Hòa,Ninh Hòa,Khánh Hòa</v>
          </cell>
          <cell r="F127" t="str">
            <v>Bài 1: Tư vấn điều trị viêm họng - Nhà thuốc cần lưu ý gì?</v>
          </cell>
          <cell r="G127" t="str">
            <v>11/7/2019 11:00:12 AM</v>
          </cell>
          <cell r="H127" t="str">
            <v>done 1 lession</v>
          </cell>
          <cell r="I127" t="str">
            <v>done</v>
          </cell>
        </row>
        <row r="128">
          <cell r="D128" t="str">
            <v>0969543442</v>
          </cell>
          <cell r="E128" t="str">
            <v>82 lo đúc, P.Ngô Thì Nhậm,Hai Bà Trưng,Hà Nội</v>
          </cell>
          <cell r="F128" t="str">
            <v>Bài 1: Tư vấn điều trị viêm họng - Nhà thuốc cần lưu ý gì?</v>
          </cell>
          <cell r="G128" t="str">
            <v>12/27/2019 11:46:40 AM</v>
          </cell>
          <cell r="H128" t="str">
            <v>done all</v>
          </cell>
          <cell r="I128" t="str">
            <v>done</v>
          </cell>
        </row>
        <row r="129">
          <cell r="D129" t="str">
            <v>0329896636</v>
          </cell>
          <cell r="E129" t="str">
            <v>17 ,ap 3 xa Tam An , P.Long Thành,Long Thành,Đồng Nai</v>
          </cell>
          <cell r="F129" t="str">
            <v>Bài 1: Tư vấn điều trị viêm họng - Nhà thuốc cần lưu ý gì?</v>
          </cell>
          <cell r="G129" t="str">
            <v>11/5/2019 2:13:36 PM</v>
          </cell>
          <cell r="H129" t="str">
            <v>done all</v>
          </cell>
          <cell r="I129" t="str">
            <v>done</v>
          </cell>
        </row>
        <row r="130">
          <cell r="D130" t="str">
            <v>0379451595</v>
          </cell>
          <cell r="E130" t="str">
            <v>Bà Hạt 436, P.08,Quận 10,Hồ Chí Minh</v>
          </cell>
          <cell r="F130" t="str">
            <v>Bài 1: Tư vấn điều trị viêm họng - Nhà thuốc cần lưu ý gì?</v>
          </cell>
          <cell r="G130" t="str">
            <v>11/13/2019 4:32:01 PM</v>
          </cell>
          <cell r="H130" t="str">
            <v>done 3 lession</v>
          </cell>
          <cell r="I130" t="str">
            <v>done</v>
          </cell>
        </row>
        <row r="131">
          <cell r="D131" t="str">
            <v>0974641909</v>
          </cell>
          <cell r="E131" t="str">
            <v>106h4, P.Thành Công,Ba Đình,Hà Nội</v>
          </cell>
          <cell r="F131" t="str">
            <v>Bài 1: Tư vấn điều trị viêm họng - Nhà thuốc cần lưu ý gì?</v>
          </cell>
          <cell r="G131" t="str">
            <v>12/28/2019 5:18:42 PM</v>
          </cell>
          <cell r="H131" t="str">
            <v>done all</v>
          </cell>
          <cell r="I131" t="str">
            <v>done</v>
          </cell>
        </row>
        <row r="132">
          <cell r="D132" t="str">
            <v>0908500860</v>
          </cell>
          <cell r="E132" t="str">
            <v>1G Văn Cao, P.Tây Thạnh,Tân Phú,Hồ Chí Minh</v>
          </cell>
          <cell r="F132" t="str">
            <v>Bài 1: Tư vấn điều trị viêm họng - Nhà thuốc cần lưu ý gì?</v>
          </cell>
          <cell r="G132" t="str">
            <v>12/25/2019 3:16:19 PM</v>
          </cell>
          <cell r="H132" t="str">
            <v>done all</v>
          </cell>
          <cell r="I132" t="str">
            <v>done</v>
          </cell>
        </row>
        <row r="133">
          <cell r="D133" t="str">
            <v>0779719086</v>
          </cell>
          <cell r="E133" t="str">
            <v>Phạm Văn Thuận/90/1 khu phố 3, P.Tam Hiệp,Biên Hòa,Đồng Nai</v>
          </cell>
          <cell r="F133" t="str">
            <v>Bài 1: Tư vấn điều trị viêm họng - Nhà thuốc cần lưu ý gì?</v>
          </cell>
          <cell r="G133" t="str">
            <v>11/6/2019 3:01:12 PM</v>
          </cell>
          <cell r="H133" t="str">
            <v>done 3 lession</v>
          </cell>
          <cell r="I133" t="str">
            <v>done</v>
          </cell>
        </row>
        <row r="134">
          <cell r="D134" t="str">
            <v>0932282066</v>
          </cell>
          <cell r="E134" t="str">
            <v>57 tân ấp, P.Phúc Xá,Ba Đình,Hà Nội</v>
          </cell>
          <cell r="F134" t="str">
            <v>Bài 1: Tư vấn điều trị viêm họng - Nhà thuốc cần lưu ý gì?</v>
          </cell>
          <cell r="G134" t="str">
            <v>12/27/2019 4:04:16 PM</v>
          </cell>
          <cell r="H134" t="str">
            <v>done 3 lession</v>
          </cell>
          <cell r="I134" t="str">
            <v>done</v>
          </cell>
        </row>
        <row r="135">
          <cell r="D135" t="str">
            <v>0949325551</v>
          </cell>
          <cell r="E135" t="str">
            <v>K3/242D Bui Huu Nghia BH-ĐN, P.Bửu Hòa,Biên Hòa,Đồng Nai</v>
          </cell>
          <cell r="F135" t="str">
            <v>Bài 1: Tư vấn điều trị viêm họng - Nhà thuốc cần lưu ý gì?</v>
          </cell>
          <cell r="G135" t="str">
            <v>11/4/2019 9:51:39 AM</v>
          </cell>
          <cell r="H135" t="str">
            <v>done all</v>
          </cell>
          <cell r="I135" t="str">
            <v>done</v>
          </cell>
        </row>
        <row r="136">
          <cell r="D136" t="str">
            <v>0838447748</v>
          </cell>
          <cell r="E136" t="str">
            <v>484 bạch mai, P.Trương Định,Hai Bà Trưng,Hà Nội</v>
          </cell>
          <cell r="F136" t="str">
            <v>Bài 1: Tư vấn điều trị viêm họng - Nhà thuốc cần lưu ý gì?</v>
          </cell>
          <cell r="G136" t="str">
            <v>11/27/2019 2:58:52 PM</v>
          </cell>
          <cell r="H136" t="str">
            <v>done all</v>
          </cell>
          <cell r="I136" t="str">
            <v>done</v>
          </cell>
        </row>
        <row r="137">
          <cell r="D137" t="str">
            <v>0366813637</v>
          </cell>
          <cell r="E137" t="str">
            <v>191 Huỳnh Văn Nghệ ,kp2 , phường bửu long , tp biên hòa , đồng nai, P.Bửu Long,Biên Hòa,Đồng Nai</v>
          </cell>
          <cell r="F137" t="str">
            <v>Bài 1: Tư vấn điều trị viêm họng - Nhà thuốc cần lưu ý gì?</v>
          </cell>
          <cell r="G137" t="str">
            <v>11/4/2019 9:11:47 AM</v>
          </cell>
          <cell r="H137" t="str">
            <v>done all</v>
          </cell>
          <cell r="I137" t="str">
            <v>done</v>
          </cell>
        </row>
        <row r="138">
          <cell r="D138" t="str">
            <v>0986506734</v>
          </cell>
          <cell r="E138" t="str">
            <v>Nhà số 28,A20,khu tập thể nghĩa tân, P.Nghĩa Tân,Cầu Giấy,Hà Nội</v>
          </cell>
          <cell r="F138" t="str">
            <v>Bài 1: Tư vấn điều trị viêm họng - Nhà thuốc cần lưu ý gì?</v>
          </cell>
          <cell r="G138" t="str">
            <v>1/14/2020 10:53:02 AM</v>
          </cell>
          <cell r="H138" t="str">
            <v>done all</v>
          </cell>
          <cell r="I138" t="str">
            <v>done</v>
          </cell>
        </row>
        <row r="139">
          <cell r="D139" t="str">
            <v>0352028046</v>
          </cell>
          <cell r="E139" t="str">
            <v>180 minh phung , P.06,Quận 6,Hồ Chí Minh</v>
          </cell>
          <cell r="F139" t="str">
            <v>Bài 1: Tư vấn điều trị viêm họng - Nhà thuốc cần lưu ý gì?</v>
          </cell>
          <cell r="G139" t="str">
            <v>1/17/2020 1:10:47 PM</v>
          </cell>
          <cell r="H139" t="str">
            <v>done all</v>
          </cell>
          <cell r="I139" t="str">
            <v>done</v>
          </cell>
        </row>
        <row r="140">
          <cell r="D140" t="str">
            <v>0937451684</v>
          </cell>
          <cell r="E140" t="str">
            <v>247 to 5 khu phước hải, P.Long Thành,Long Thành,Đồng Nai</v>
          </cell>
          <cell r="F140" t="str">
            <v>Bài 1: Tư vấn điều trị viêm họng - Nhà thuốc cần lưu ý gì?</v>
          </cell>
          <cell r="G140" t="str">
            <v>11/5/2019 1:12:04 PM</v>
          </cell>
          <cell r="H140" t="str">
            <v>done all</v>
          </cell>
          <cell r="I140" t="str">
            <v>done</v>
          </cell>
        </row>
        <row r="141">
          <cell r="D141" t="str">
            <v>0773789219</v>
          </cell>
          <cell r="E141" t="str">
            <v>246 Dương Quảng Hàm, phường 5, quận Gò Vấp, P.05,Gò Vấp,Hồ Chí Minh</v>
          </cell>
          <cell r="F141" t="str">
            <v>Bài 1: Tư vấn điều trị viêm họng - Nhà thuốc cần lưu ý gì?</v>
          </cell>
          <cell r="G141" t="str">
            <v>11/8/2019 12:17:00 PM</v>
          </cell>
          <cell r="H141" t="str">
            <v>done all</v>
          </cell>
          <cell r="I141" t="str">
            <v>done</v>
          </cell>
        </row>
        <row r="142">
          <cell r="D142" t="str">
            <v>0934087637</v>
          </cell>
          <cell r="E142" t="str">
            <v>257B Nguyen Bieu- P. 2, P.02,Quận 5,Hồ Chí Minh</v>
          </cell>
          <cell r="F142" t="str">
            <v>Bài 1: Tư vấn điều trị viêm họng - Nhà thuốc cần lưu ý gì?</v>
          </cell>
          <cell r="G142" t="str">
            <v>12/20/2019 2:46:04 PM</v>
          </cell>
          <cell r="H142" t="str">
            <v>done all</v>
          </cell>
          <cell r="I142" t="str">
            <v>done</v>
          </cell>
        </row>
        <row r="143">
          <cell r="D143" t="str">
            <v>0973564948</v>
          </cell>
          <cell r="E143" t="str">
            <v>276 bắc hải, P.02,Tân Bình,Hồ Chí Minh</v>
          </cell>
          <cell r="F143" t="str">
            <v>Bài 1: Tư vấn điều trị viêm họng - Nhà thuốc cần lưu ý gì?</v>
          </cell>
          <cell r="G143" t="str">
            <v>11/8/2019 11:59:40 AM</v>
          </cell>
          <cell r="H143" t="str">
            <v>done 1 lession</v>
          </cell>
          <cell r="I143" t="str">
            <v>done</v>
          </cell>
        </row>
      </sheetData>
      <sheetData sheetId="3"/>
      <sheetData sheetId="4">
        <row r="8">
          <cell r="D8" t="str">
            <v>0362225885</v>
          </cell>
          <cell r="E8" t="str">
            <v>35 cũ nay 251 Trần Đại Nghĩa, P.Đồng Tâm,Hai Bà Trưng,Hà Nội</v>
          </cell>
          <cell r="F8" t="str">
            <v>Bài 2: Cảnh báo đề kháng kháng sinh - Điều trị viêm họng an toàn</v>
          </cell>
          <cell r="G8" t="str">
            <v>12/4/2019 10:22:08 AM</v>
          </cell>
          <cell r="H8" t="str">
            <v>done all</v>
          </cell>
          <cell r="I8" t="str">
            <v>done</v>
          </cell>
        </row>
        <row r="9">
          <cell r="D9" t="str">
            <v>0937234829</v>
          </cell>
          <cell r="E9" t="str">
            <v>Cong quynh, P.Phạm Ngũ Lão,Quận 1,Hồ Chí Minh</v>
          </cell>
          <cell r="F9" t="str">
            <v>Bài 2: Cảnh báo đề kháng kháng sinh - Điều trị viêm họng an toàn</v>
          </cell>
          <cell r="G9" t="str">
            <v>12/16/2019 1:24:30 PM</v>
          </cell>
          <cell r="H9" t="str">
            <v>done all</v>
          </cell>
          <cell r="I9" t="str">
            <v>done</v>
          </cell>
        </row>
        <row r="10">
          <cell r="D10" t="str">
            <v>0915960698</v>
          </cell>
          <cell r="E10" t="str">
            <v>105/168, P.Ngọc Khánh,Ba Đình,Hà Nội</v>
          </cell>
          <cell r="F10" t="str">
            <v>Bài 2: Cảnh báo đề kháng kháng sinh - Điều trị viêm họng an toàn</v>
          </cell>
          <cell r="G10" t="str">
            <v>12/27/2019 12:36:42 PM</v>
          </cell>
          <cell r="H10" t="str">
            <v>done 3 lession</v>
          </cell>
          <cell r="I10" t="str">
            <v>done</v>
          </cell>
        </row>
        <row r="11">
          <cell r="D11" t="str">
            <v>0978974964</v>
          </cell>
          <cell r="E11" t="str">
            <v>quốc lộ 14, P.Pơng Drang,Krông Búk,Đắk Lắk</v>
          </cell>
          <cell r="F11" t="str">
            <v>Bài 2: Cảnh báo đề kháng kháng sinh - Điều trị viêm họng an toàn</v>
          </cell>
          <cell r="G11" t="str">
            <v>12/29/2019 3:32:03 PM</v>
          </cell>
          <cell r="H11" t="str">
            <v>done 3 lession</v>
          </cell>
          <cell r="I11" t="str">
            <v>done</v>
          </cell>
        </row>
        <row r="12">
          <cell r="D12" t="str">
            <v>0949947848</v>
          </cell>
          <cell r="E12" t="str">
            <v>77A Thống Nhất, P.11,Gò Vấp,Hồ Chí Minh</v>
          </cell>
          <cell r="F12" t="str">
            <v>Bài 2: Cảnh báo đề kháng kháng sinh - Điều trị viêm họng an toàn</v>
          </cell>
          <cell r="G12" t="str">
            <v>11/28/2019 1:52:21 PM</v>
          </cell>
          <cell r="H12" t="str">
            <v>done 2 lession</v>
          </cell>
          <cell r="I12" t="str">
            <v>done</v>
          </cell>
        </row>
        <row r="13">
          <cell r="D13" t="str">
            <v>0902117077</v>
          </cell>
          <cell r="E13" t="str">
            <v>198 Xã Đàn, P.Ô Chợ Dừa,Đống Đa,Hà Nội</v>
          </cell>
          <cell r="F13" t="str">
            <v>Bài 2: Cảnh báo đề kháng kháng sinh - Điều trị viêm họng an toàn</v>
          </cell>
          <cell r="G13" t="str">
            <v>12/19/2019 10:51:43 AM</v>
          </cell>
          <cell r="H13" t="str">
            <v>done all</v>
          </cell>
          <cell r="I13" t="str">
            <v>done</v>
          </cell>
        </row>
        <row r="14">
          <cell r="D14" t="str">
            <v>0903325275</v>
          </cell>
          <cell r="E14" t="str">
            <v>12, P.Đội Cấn,Ba Đình,Hà Nội</v>
          </cell>
          <cell r="F14" t="str">
            <v>Bài 2: Cảnh báo đề kháng kháng sinh - Điều trị viêm họng an toàn</v>
          </cell>
          <cell r="G14" t="str">
            <v>12/27/2019 3:16:17 PM</v>
          </cell>
          <cell r="H14" t="str">
            <v>done all</v>
          </cell>
          <cell r="I14" t="str">
            <v>done</v>
          </cell>
        </row>
        <row r="15">
          <cell r="D15" t="str">
            <v>0704968018</v>
          </cell>
          <cell r="E15" t="str">
            <v>110/12 NGUYEN VIET HONG- P. AN PHU, P.An Phú,Ninh Kiều,Cần Thơ</v>
          </cell>
          <cell r="F15" t="str">
            <v>Bài 2: Cảnh báo đề kháng kháng sinh - Điều trị viêm họng an toàn</v>
          </cell>
          <cell r="G15" t="str">
            <v>12/16/2019 11:03:43 AM</v>
          </cell>
          <cell r="H15" t="str">
            <v>done 3 lession</v>
          </cell>
          <cell r="I15" t="str">
            <v>done</v>
          </cell>
        </row>
        <row r="16">
          <cell r="D16" t="str">
            <v>0907089624</v>
          </cell>
          <cell r="E16" t="str">
            <v>79D4, Khu Vực Thạnh Mỹ, P.Thường Thạnh,Cái Răng,Cần Thơ</v>
          </cell>
          <cell r="F16" t="str">
            <v>Bài 2: Cảnh báo đề kháng kháng sinh - Điều trị viêm họng an toàn</v>
          </cell>
          <cell r="G16" t="str">
            <v>11/25/2019 9:40:15 AM</v>
          </cell>
          <cell r="H16" t="str">
            <v>done all</v>
          </cell>
          <cell r="I16" t="str">
            <v>done</v>
          </cell>
        </row>
        <row r="17">
          <cell r="D17" t="str">
            <v>0766855066</v>
          </cell>
          <cell r="E17" t="str">
            <v>178, P.Tân An,Ninh Kiều,Cần Thơ</v>
          </cell>
          <cell r="F17" t="str">
            <v>Bài 2: Cảnh báo đề kháng kháng sinh - Điều trị viêm họng an toàn</v>
          </cell>
          <cell r="G17" t="str">
            <v>11/25/2019 9:18:05 AM</v>
          </cell>
          <cell r="H17" t="str">
            <v>done all</v>
          </cell>
          <cell r="I17" t="str">
            <v>done</v>
          </cell>
        </row>
        <row r="18">
          <cell r="D18" t="str">
            <v>0986190286</v>
          </cell>
          <cell r="E18" t="str">
            <v>204 hồng mai, P.Quỳnh Lôi,Hai Bà Trưng,Hà Nội</v>
          </cell>
          <cell r="F18" t="str">
            <v>Bài 2: Cảnh báo đề kháng kháng sinh - Điều trị viêm họng an toàn</v>
          </cell>
          <cell r="G18" t="str">
            <v>12/27/2019 1:06:19 PM</v>
          </cell>
          <cell r="H18" t="str">
            <v>done all</v>
          </cell>
          <cell r="I18" t="str">
            <v>done</v>
          </cell>
        </row>
        <row r="19">
          <cell r="D19" t="str">
            <v>0374635903</v>
          </cell>
          <cell r="E19" t="str">
            <v>14 Trần Nhân Tông, P.Nguyễn Du,Hai Bà Trưng,Hà Nội</v>
          </cell>
          <cell r="F19" t="str">
            <v>Bài 2: Cảnh báo đề kháng kháng sinh - Điều trị viêm họng an toàn</v>
          </cell>
          <cell r="G19" t="str">
            <v>12/27/2019 2:17:08 PM</v>
          </cell>
          <cell r="H19" t="str">
            <v>done all</v>
          </cell>
          <cell r="I19" t="str">
            <v>done</v>
          </cell>
        </row>
        <row r="20">
          <cell r="D20" t="str">
            <v>0908412436</v>
          </cell>
          <cell r="E20" t="str">
            <v>702 HUONG LO 2, P. BINH TRI DONG A, P.Bình Hưng Hòa,Bình Tân,Hồ Chí Minh</v>
          </cell>
          <cell r="F20" t="str">
            <v>Bài 2: Cảnh báo đề kháng kháng sinh - Điều trị viêm họng an toàn</v>
          </cell>
          <cell r="G20" t="str">
            <v>11/28/2019 11:50:07 AM</v>
          </cell>
          <cell r="H20" t="str">
            <v>done all</v>
          </cell>
          <cell r="I20" t="str">
            <v>done</v>
          </cell>
        </row>
        <row r="21">
          <cell r="D21" t="str">
            <v>0398019788</v>
          </cell>
          <cell r="E21" t="str">
            <v>Số 72 phố Trần Bình, P.Mai Dịch,Cầu Giấy,Hà Nội</v>
          </cell>
          <cell r="F21" t="str">
            <v>Bài 2: Cảnh báo đề kháng kháng sinh - Điều trị viêm họng an toàn</v>
          </cell>
          <cell r="G21" t="str">
            <v>12/24/2019 12:59:29 PM</v>
          </cell>
          <cell r="H21" t="str">
            <v>done all</v>
          </cell>
          <cell r="I21" t="str">
            <v>done</v>
          </cell>
        </row>
        <row r="22">
          <cell r="D22" t="str">
            <v>0938980689</v>
          </cell>
          <cell r="E22" t="str">
            <v>08 lô C Mạc Thiên Tích , P.11,Quận 5,Hồ Chí Minh</v>
          </cell>
          <cell r="F22" t="str">
            <v>Bài 2: Cảnh báo đề kháng kháng sinh - Điều trị viêm họng an toàn</v>
          </cell>
          <cell r="G22" t="str">
            <v>12/19/2019 3:26:42 PM</v>
          </cell>
          <cell r="H22" t="str">
            <v>done all</v>
          </cell>
          <cell r="I22" t="str">
            <v>done</v>
          </cell>
        </row>
        <row r="23">
          <cell r="D23" t="str">
            <v>0982600388</v>
          </cell>
          <cell r="E23" t="str">
            <v>81B xuân diệu, P.Quảng An,Tây Hồ,Hà Nội</v>
          </cell>
          <cell r="F23" t="str">
            <v>Bài 2: Cảnh báo đề kháng kháng sinh - Điều trị viêm họng an toàn</v>
          </cell>
          <cell r="G23" t="str">
            <v>1/3/2020 10:05:10 AM</v>
          </cell>
          <cell r="H23" t="str">
            <v>done all</v>
          </cell>
          <cell r="I23" t="str">
            <v>done</v>
          </cell>
        </row>
        <row r="24">
          <cell r="D24" t="str">
            <v>0372046246</v>
          </cell>
          <cell r="E24" t="str">
            <v>Số nhà 168 Phùng Hưng- Hà Đông - Hà Nội, P.Phúc La,Hà Đông,Hà Nội</v>
          </cell>
          <cell r="F24" t="str">
            <v>Bài 2: Cảnh báo đề kháng kháng sinh - Điều trị viêm họng an toàn</v>
          </cell>
          <cell r="G24" t="str">
            <v>12/27/2019 5:45:07 PM</v>
          </cell>
          <cell r="H24" t="str">
            <v>done all</v>
          </cell>
          <cell r="I24" t="str">
            <v>done</v>
          </cell>
        </row>
        <row r="25">
          <cell r="D25" t="str">
            <v>0917266219</v>
          </cell>
          <cell r="E25" t="str">
            <v>47 Cửu Long, P.15,Quận 10,Hồ Chí Minh</v>
          </cell>
          <cell r="F25" t="str">
            <v>Bài 2: Cảnh báo đề kháng kháng sinh - Điều trị viêm họng an toàn</v>
          </cell>
          <cell r="G25" t="str">
            <v>12/25/2019 6:10:10 PM</v>
          </cell>
          <cell r="H25" t="str">
            <v>done all</v>
          </cell>
          <cell r="I25" t="str">
            <v>done</v>
          </cell>
        </row>
        <row r="26">
          <cell r="D26" t="str">
            <v>0965568368</v>
          </cell>
          <cell r="E26" t="str">
            <v>1035 kp 7 phường long bình , P.Long Bình,Biên Hòa,Đồng Nai</v>
          </cell>
          <cell r="F26" t="str">
            <v>Bài 2: Cảnh báo đề kháng kháng sinh - Điều trị viêm họng an toàn</v>
          </cell>
          <cell r="G26" t="str">
            <v>12/23/2019 9:07:54 AM</v>
          </cell>
          <cell r="H26" t="str">
            <v>done all</v>
          </cell>
          <cell r="I26" t="str">
            <v>done</v>
          </cell>
        </row>
        <row r="27">
          <cell r="D27" t="str">
            <v>0906234770</v>
          </cell>
          <cell r="E27" t="str">
            <v>158/34 vinh tuy, P.Vĩnh Tuy,Hai Bà Trưng,Hà Nội</v>
          </cell>
          <cell r="F27" t="str">
            <v>Bài 2: Cảnh báo đề kháng kháng sinh - Điều trị viêm họng an toàn</v>
          </cell>
          <cell r="G27" t="str">
            <v>12/27/2019 11:26:39 AM</v>
          </cell>
          <cell r="H27" t="str">
            <v>done all</v>
          </cell>
          <cell r="I27" t="str">
            <v>done</v>
          </cell>
        </row>
        <row r="28">
          <cell r="D28" t="str">
            <v>0979635045</v>
          </cell>
          <cell r="E28" t="str">
            <v>số A21 phố dịch vọng hậu, P.Dịch Vọng Hậu,Cầu Giấy,Hà Nội</v>
          </cell>
          <cell r="F28" t="str">
            <v>Bài 2: Cảnh báo đề kháng kháng sinh - Điều trị viêm họng an toàn</v>
          </cell>
          <cell r="G28" t="str">
            <v>12/27/2019 8:53:48 PM</v>
          </cell>
          <cell r="H28" t="str">
            <v>done all</v>
          </cell>
          <cell r="I28" t="str">
            <v>done</v>
          </cell>
        </row>
        <row r="29">
          <cell r="D29" t="str">
            <v>0996986777</v>
          </cell>
          <cell r="E29" t="str">
            <v>327/37/11 ymoan, P.Tân Lợi,Buôn Ma Thuột,Đắk Lắk</v>
          </cell>
          <cell r="F29" t="str">
            <v>Bài 2: Cảnh báo đề kháng kháng sinh - Điều trị viêm họng an toàn</v>
          </cell>
          <cell r="G29" t="str">
            <v>12/19/2019 1:10:33 PM</v>
          </cell>
          <cell r="H29" t="str">
            <v>done all</v>
          </cell>
          <cell r="I29" t="str">
            <v>done</v>
          </cell>
        </row>
        <row r="30">
          <cell r="D30" t="str">
            <v>0979209388</v>
          </cell>
          <cell r="E30" t="str">
            <v>104 bạch mai, P.Cầu Dền,Hai Bà Trưng,Hà Nội</v>
          </cell>
          <cell r="F30" t="str">
            <v>Bài 2: Cảnh báo đề kháng kháng sinh - Điều trị viêm họng an toàn</v>
          </cell>
          <cell r="G30" t="str">
            <v>12/27/2019 2:20:41 PM</v>
          </cell>
          <cell r="H30" t="str">
            <v>done all</v>
          </cell>
          <cell r="I30" t="str">
            <v>done</v>
          </cell>
        </row>
        <row r="31">
          <cell r="D31" t="str">
            <v>0908822952</v>
          </cell>
          <cell r="E31" t="str">
            <v>351 Tân Hoà Dông, P.Bình Trị Đông,Bình Tân,Hồ Chí Minh</v>
          </cell>
          <cell r="F31" t="str">
            <v>Bài 2: Cảnh báo đề kháng kháng sinh - Điều trị viêm họng an toàn</v>
          </cell>
          <cell r="G31" t="str">
            <v>11/22/2019 10:09:28 PM</v>
          </cell>
          <cell r="H31" t="str">
            <v>done all</v>
          </cell>
          <cell r="I31" t="str">
            <v>done</v>
          </cell>
        </row>
        <row r="32">
          <cell r="D32" t="str">
            <v>0907406779</v>
          </cell>
          <cell r="E32" t="str">
            <v>73 Tran Binh Trong- P. 1, P.01,Quận 5,Hồ Chí Minh</v>
          </cell>
          <cell r="F32" t="str">
            <v>Bài 2: Cảnh báo đề kháng kháng sinh - Điều trị viêm họng an toàn</v>
          </cell>
          <cell r="G32" t="str">
            <v>12/24/2019 10:32:48 AM</v>
          </cell>
          <cell r="H32" t="str">
            <v>done all</v>
          </cell>
          <cell r="I32" t="str">
            <v>done</v>
          </cell>
        </row>
        <row r="33">
          <cell r="D33" t="str">
            <v>0905713139</v>
          </cell>
          <cell r="E33" t="str">
            <v>4 yersin , P.Xương Huân,Nha Trang,Khánh Hòa</v>
          </cell>
          <cell r="F33" t="str">
            <v>Bài 2: Cảnh báo đề kháng kháng sinh - Điều trị viêm họng an toàn</v>
          </cell>
          <cell r="G33" t="str">
            <v>12/23/2019 12:20:25 PM</v>
          </cell>
          <cell r="H33" t="str">
            <v>done all</v>
          </cell>
          <cell r="I33" t="str">
            <v>done</v>
          </cell>
        </row>
        <row r="34">
          <cell r="D34" t="str">
            <v>0909473674</v>
          </cell>
          <cell r="E34" t="str">
            <v>G4A, P.15,Quận 10,Hồ Chí Minh</v>
          </cell>
          <cell r="F34" t="str">
            <v>Bài 2: Cảnh báo đề kháng kháng sinh - Điều trị viêm họng an toàn</v>
          </cell>
          <cell r="G34" t="str">
            <v>12/4/2019 3:49:06 PM</v>
          </cell>
          <cell r="H34" t="str">
            <v>done 3 lession</v>
          </cell>
          <cell r="I34" t="str">
            <v>done</v>
          </cell>
        </row>
        <row r="35">
          <cell r="D35" t="str">
            <v>0903452774</v>
          </cell>
          <cell r="E35" t="str">
            <v>43A PHAN XÍCH LONG, PHƯỜNG 2, QUẬN PHÚ NHUẬN, TP.HCM, P.02,Phú Nhuận,Hồ Chí Minh</v>
          </cell>
          <cell r="F35" t="str">
            <v>Bài 2: Cảnh báo đề kháng kháng sinh - Điều trị viêm họng an toàn</v>
          </cell>
          <cell r="G35" t="str">
            <v>1/9/2020 11:01:32 PM</v>
          </cell>
          <cell r="H35" t="str">
            <v>done all</v>
          </cell>
          <cell r="I35" t="str">
            <v>done</v>
          </cell>
        </row>
        <row r="36">
          <cell r="D36" t="str">
            <v>0838313886</v>
          </cell>
          <cell r="E36" t="str">
            <v>54, P.Đống Mác,Hai Bà Trưng,Hà Nội</v>
          </cell>
          <cell r="F36" t="str">
            <v>Bài 2: Cảnh báo đề kháng kháng sinh - Điều trị viêm họng an toàn</v>
          </cell>
          <cell r="G36" t="str">
            <v>12/27/2019 3:18:57 PM</v>
          </cell>
          <cell r="H36" t="str">
            <v>done all</v>
          </cell>
          <cell r="I36" t="str">
            <v>done</v>
          </cell>
        </row>
        <row r="37">
          <cell r="D37" t="str">
            <v>0379361655</v>
          </cell>
          <cell r="E37" t="str">
            <v>59 Trần Đại Nghĩa, P.Bách Khoa,Hai Bà Trưng,Hà Nội</v>
          </cell>
          <cell r="F37" t="str">
            <v>Bài 2: Cảnh báo đề kháng kháng sinh - Điều trị viêm họng an toàn</v>
          </cell>
          <cell r="G37" t="str">
            <v>11/25/2019 5:06:17 PM</v>
          </cell>
          <cell r="H37" t="str">
            <v>done all</v>
          </cell>
          <cell r="I37" t="str">
            <v>done</v>
          </cell>
        </row>
        <row r="38">
          <cell r="D38" t="str">
            <v>0973732068</v>
          </cell>
          <cell r="E38" t="str">
            <v>493 Nguyễn Văn Công, P.03,Gò Vấp,Hồ Chí Minh</v>
          </cell>
          <cell r="F38" t="str">
            <v>Bài 2: Cảnh báo đề kháng kháng sinh - Điều trị viêm họng an toàn</v>
          </cell>
          <cell r="G38" t="str">
            <v>11/24/2019 11:16:03 AM</v>
          </cell>
          <cell r="H38" t="str">
            <v>done all</v>
          </cell>
          <cell r="I38" t="str">
            <v>done</v>
          </cell>
        </row>
        <row r="39">
          <cell r="D39" t="str">
            <v>0971399267</v>
          </cell>
          <cell r="E39" t="str">
            <v>66 to 22 mai dịch, P.Mai Dịch,Cầu Giấy,Hà Nội</v>
          </cell>
          <cell r="F39" t="str">
            <v>Bài 2: Cảnh báo đề kháng kháng sinh - Điều trị viêm họng an toàn</v>
          </cell>
          <cell r="G39" t="str">
            <v>12/27/2019 12:29:48 PM</v>
          </cell>
          <cell r="H39" t="str">
            <v>done all</v>
          </cell>
          <cell r="I39" t="str">
            <v>done</v>
          </cell>
        </row>
        <row r="40">
          <cell r="D40" t="str">
            <v>0932344890</v>
          </cell>
          <cell r="E40" t="str">
            <v>203/1 lac long quân , P.03,Quận 11,Hồ Chí Minh</v>
          </cell>
          <cell r="F40" t="str">
            <v>Bài 2: Cảnh báo đề kháng kháng sinh - Điều trị viêm họng an toàn</v>
          </cell>
          <cell r="G40" t="str">
            <v>11/27/2019 8:05:04 PM</v>
          </cell>
          <cell r="H40" t="str">
            <v>done all</v>
          </cell>
          <cell r="I40" t="str">
            <v>done</v>
          </cell>
        </row>
        <row r="41">
          <cell r="D41" t="str">
            <v>0856930090</v>
          </cell>
          <cell r="E41" t="str">
            <v>380P/14B Nguyễn Văn Cừ, P.Xuân Khánh,Ninh Kiều,Cần Thơ</v>
          </cell>
          <cell r="F41" t="str">
            <v>Bài 2: Cảnh báo đề kháng kháng sinh - Điều trị viêm họng an toàn</v>
          </cell>
          <cell r="G41" t="str">
            <v>12/22/2019 5:42:57 PM</v>
          </cell>
          <cell r="H41" t="str">
            <v>done all</v>
          </cell>
          <cell r="I41" t="str">
            <v>done</v>
          </cell>
        </row>
        <row r="42">
          <cell r="D42" t="str">
            <v>0962541648</v>
          </cell>
          <cell r="E42" t="str">
            <v>169 Mai Hac De, P.Lê Đại Hành,Hai Bà Trưng,Hà Nội</v>
          </cell>
          <cell r="F42" t="str">
            <v>Bài 2: Cảnh báo đề kháng kháng sinh - Điều trị viêm họng an toàn</v>
          </cell>
          <cell r="G42" t="str">
            <v>12/27/2019 11:26:03 AM</v>
          </cell>
          <cell r="H42" t="str">
            <v>done all</v>
          </cell>
          <cell r="I42" t="str">
            <v>done</v>
          </cell>
        </row>
        <row r="43">
          <cell r="D43" t="str">
            <v>0979379730</v>
          </cell>
          <cell r="E43" t="str">
            <v>28 Đội Cấn, P.Đội Cấn,Ba Đình,Hà Nội</v>
          </cell>
          <cell r="F43" t="str">
            <v>Bài 2: Cảnh báo đề kháng kháng sinh - Điều trị viêm họng an toàn</v>
          </cell>
          <cell r="G43" t="str">
            <v>12/28/2019 2:59:13 PM</v>
          </cell>
          <cell r="H43" t="str">
            <v>done all</v>
          </cell>
          <cell r="I43" t="str">
            <v>done</v>
          </cell>
        </row>
        <row r="44">
          <cell r="D44" t="str">
            <v>0912174547</v>
          </cell>
          <cell r="E44" t="str">
            <v>1/1, ấp An Hòa, P.Hóa An,Biên Hòa,Đồng Nai</v>
          </cell>
          <cell r="F44" t="str">
            <v>Bài 2: Cảnh báo đề kháng kháng sinh - Điều trị viêm họng an toàn</v>
          </cell>
          <cell r="G44" t="str">
            <v>12/11/2019 5:24:14 PM</v>
          </cell>
          <cell r="H44" t="str">
            <v>done all</v>
          </cell>
          <cell r="I44" t="str">
            <v>done</v>
          </cell>
        </row>
        <row r="45">
          <cell r="D45" t="str">
            <v>0383720189</v>
          </cell>
          <cell r="E45" t="str">
            <v>Số 4, ngõ 58, phố trần bình, P.Mai Dịch,Cầu Giấy,Hà Nội</v>
          </cell>
          <cell r="F45" t="str">
            <v>Bài 2: Cảnh báo đề kháng kháng sinh - Điều trị viêm họng an toàn</v>
          </cell>
          <cell r="G45" t="str">
            <v>12/27/2019 12:33:23 PM</v>
          </cell>
          <cell r="H45" t="str">
            <v>done 3 lession</v>
          </cell>
          <cell r="I45" t="str">
            <v>done</v>
          </cell>
        </row>
        <row r="46">
          <cell r="D46" t="str">
            <v>0342826369</v>
          </cell>
          <cell r="E46" t="str">
            <v>176A Thống Nhất, P.Phương Sài,Nha Trang,Khánh Hòa</v>
          </cell>
          <cell r="F46" t="str">
            <v>Bài 2: Cảnh báo đề kháng kháng sinh - Điều trị viêm họng an toàn</v>
          </cell>
          <cell r="G46" t="str">
            <v>11/20/2019 9:58:37 PM</v>
          </cell>
          <cell r="H46" t="str">
            <v>done all</v>
          </cell>
          <cell r="I46" t="str">
            <v>done</v>
          </cell>
        </row>
        <row r="47">
          <cell r="D47" t="str">
            <v>033650324</v>
          </cell>
          <cell r="E47" t="str">
            <v>45/295 bạch mai, P.Bạch Mai,Hai Bà Trưng,Hà Nội</v>
          </cell>
          <cell r="F47" t="str">
            <v>Bài 2: Cảnh báo đề kháng kháng sinh - Điều trị viêm họng an toàn</v>
          </cell>
          <cell r="G47" t="str">
            <v>12/27/2019 10:41:54 AM</v>
          </cell>
          <cell r="H47" t="str">
            <v>done all</v>
          </cell>
          <cell r="I47" t="str">
            <v>done</v>
          </cell>
        </row>
        <row r="48">
          <cell r="D48" t="str">
            <v>0358526172</v>
          </cell>
          <cell r="E48" t="str">
            <v>106H4, P.Thành Công,Ba Đình,Hà Nội</v>
          </cell>
          <cell r="F48" t="str">
            <v>Bài 2: Cảnh báo đề kháng kháng sinh - Điều trị viêm họng an toàn</v>
          </cell>
          <cell r="G48" t="str">
            <v>12/25/2019 11:16:36 AM</v>
          </cell>
          <cell r="H48" t="str">
            <v>done all</v>
          </cell>
          <cell r="I48" t="str">
            <v>done</v>
          </cell>
        </row>
        <row r="49">
          <cell r="D49" t="str">
            <v>0946344242</v>
          </cell>
          <cell r="E49" t="str">
            <v>2B KV Thạnh Mỹ, P.Thường Thạnh,Cái Răng,Cần Thơ</v>
          </cell>
          <cell r="F49" t="str">
            <v>Bài 2: Cảnh báo đề kháng kháng sinh - Điều trị viêm họng an toàn</v>
          </cell>
          <cell r="G49" t="str">
            <v>11/25/2019 3:52:09 PM</v>
          </cell>
          <cell r="H49" t="str">
            <v>done all</v>
          </cell>
          <cell r="I49" t="str">
            <v>done</v>
          </cell>
        </row>
        <row r="50">
          <cell r="D50" t="str">
            <v>0975384392</v>
          </cell>
          <cell r="E50" t="str">
            <v>15b1 , P.Thành Công,Ba Đình,Hà Nội</v>
          </cell>
          <cell r="F50" t="str">
            <v>Bài 2: Cảnh báo đề kháng kháng sinh - Điều trị viêm họng an toàn</v>
          </cell>
          <cell r="G50" t="str">
            <v>12/28/2019 2:40:49 PM</v>
          </cell>
          <cell r="H50" t="str">
            <v>done all</v>
          </cell>
          <cell r="I50" t="str">
            <v>done</v>
          </cell>
        </row>
        <row r="51">
          <cell r="D51" t="str">
            <v>0834377770</v>
          </cell>
          <cell r="E51" t="str">
            <v>25 lý tự trọng , P.Tân An,Buôn Ma Thuột,Đắk Lắk</v>
          </cell>
          <cell r="F51" t="str">
            <v>Bài 2: Cảnh báo đề kháng kháng sinh - Điều trị viêm họng an toàn</v>
          </cell>
          <cell r="G51" t="str">
            <v>1/2/2020 4:44:35 PM</v>
          </cell>
          <cell r="H51" t="str">
            <v>done all</v>
          </cell>
          <cell r="I51" t="str">
            <v>done</v>
          </cell>
        </row>
        <row r="52">
          <cell r="D52" t="str">
            <v>0368921989</v>
          </cell>
          <cell r="E52" t="str">
            <v>52 nguyễn trãi, P.Nhân Chính,Thanh Xuân,Hà Nội</v>
          </cell>
          <cell r="F52" t="str">
            <v>Bài 2: Cảnh báo đề kháng kháng sinh - Điều trị viêm họng an toàn</v>
          </cell>
          <cell r="G52" t="str">
            <v>12/27/2019 8:08:59 PM</v>
          </cell>
          <cell r="H52" t="str">
            <v>done 2 lession</v>
          </cell>
          <cell r="I52" t="str">
            <v>done</v>
          </cell>
        </row>
        <row r="53">
          <cell r="D53" t="str">
            <v>0988192916</v>
          </cell>
          <cell r="E53" t="str">
            <v>233 đường thanh nhàn , P.Thanh Nhàn,Hai Bà Trưng,Hà Nội</v>
          </cell>
          <cell r="F53" t="str">
            <v>Bài 2: Cảnh báo đề kháng kháng sinh - Điều trị viêm họng an toàn</v>
          </cell>
          <cell r="G53" t="str">
            <v>12/27/2019 9:41:24 AM</v>
          </cell>
          <cell r="H53" t="str">
            <v>done all</v>
          </cell>
          <cell r="I53" t="str">
            <v>done</v>
          </cell>
        </row>
        <row r="54">
          <cell r="D54" t="str">
            <v>0375231202</v>
          </cell>
          <cell r="E54" t="str">
            <v>79 trương Định, P.Trương Định,Hai Bà Trưng,Hà Nội</v>
          </cell>
          <cell r="F54" t="str">
            <v>Bài 2: Cảnh báo đề kháng kháng sinh - Điều trị viêm họng an toàn</v>
          </cell>
          <cell r="G54" t="str">
            <v>12/19/2019 1:11:29 PM</v>
          </cell>
          <cell r="H54" t="str">
            <v>done all</v>
          </cell>
          <cell r="I54" t="str">
            <v>done</v>
          </cell>
        </row>
        <row r="55">
          <cell r="D55" t="str">
            <v>0982601483</v>
          </cell>
          <cell r="E55" t="str">
            <v>8/10b, đường Huỳnh Văn Nghệ, P.Bửu Long,Biên Hòa,Đồng Nai</v>
          </cell>
          <cell r="F55" t="str">
            <v>Bài 2: Cảnh báo đề kháng kháng sinh - Điều trị viêm họng an toàn</v>
          </cell>
          <cell r="G55" t="str">
            <v>12/19/2019 3:23:56 PM</v>
          </cell>
          <cell r="H55" t="str">
            <v>done all</v>
          </cell>
          <cell r="I55" t="str">
            <v>done</v>
          </cell>
        </row>
        <row r="56">
          <cell r="D56" t="str">
            <v>0934031747</v>
          </cell>
          <cell r="E56" t="str">
            <v>Huỳnh văn nghệ, P.Bửu Long,Biên Hòa,Đồng Nai</v>
          </cell>
          <cell r="F56" t="str">
            <v>Bài 2: Cảnh báo đề kháng kháng sinh - Điều trị viêm họng an toàn</v>
          </cell>
          <cell r="G56" t="str">
            <v>12/6/2019 8:07:42 AM</v>
          </cell>
          <cell r="H56" t="str">
            <v>done all</v>
          </cell>
          <cell r="I56" t="str">
            <v>done</v>
          </cell>
        </row>
        <row r="57">
          <cell r="D57" t="str">
            <v>0982028315</v>
          </cell>
          <cell r="E57" t="str">
            <v>5 nguyễn quý đức, P.Thanh Xuân Bắc,Thanh Xuân,Hà Nội</v>
          </cell>
          <cell r="F57" t="str">
            <v>Bài 2: Cảnh báo đề kháng kháng sinh - Điều trị viêm họng an toàn</v>
          </cell>
          <cell r="G57" t="str">
            <v>12/26/2019 5:42:40 PM</v>
          </cell>
          <cell r="H57" t="str">
            <v>done all</v>
          </cell>
          <cell r="I57" t="str">
            <v>done</v>
          </cell>
        </row>
        <row r="58">
          <cell r="D58" t="str">
            <v>0987074092</v>
          </cell>
          <cell r="E58" t="str">
            <v>266 Lê Thanh Nghị, P.Đồng Tâm,Hai Bà Trưng,Hà Nội</v>
          </cell>
          <cell r="F58" t="str">
            <v>Bài 2: Cảnh báo đề kháng kháng sinh - Điều trị viêm họng an toàn</v>
          </cell>
          <cell r="G58" t="str">
            <v>12/25/2019 8:54:17 AM</v>
          </cell>
          <cell r="H58" t="str">
            <v>done all</v>
          </cell>
          <cell r="I58" t="str">
            <v>done</v>
          </cell>
        </row>
        <row r="59">
          <cell r="D59" t="str">
            <v>0907469232</v>
          </cell>
          <cell r="E59" t="str">
            <v>Cạnh 335B|1,KV 4,, P.An Khánh,Ninh Kiều,Cần Thơ</v>
          </cell>
          <cell r="F59" t="str">
            <v>Bài 2: Cảnh báo đề kháng kháng sinh - Điều trị viêm họng an toàn</v>
          </cell>
          <cell r="G59" t="str">
            <v>12/4/2019 11:05:20 AM</v>
          </cell>
          <cell r="H59" t="str">
            <v>done all</v>
          </cell>
          <cell r="I59" t="str">
            <v>done</v>
          </cell>
        </row>
        <row r="60">
          <cell r="D60" t="str">
            <v>0939650407</v>
          </cell>
          <cell r="E60" t="str">
            <v>632 đường 30/4, P.Hưng Lợi,Ninh Kiều,Cần Thơ</v>
          </cell>
          <cell r="F60" t="str">
            <v>Bài 2: Cảnh báo đề kháng kháng sinh - Điều trị viêm họng an toàn</v>
          </cell>
          <cell r="G60" t="str">
            <v>12/18/2019 12:53:16 PM</v>
          </cell>
          <cell r="H60" t="str">
            <v>done all</v>
          </cell>
          <cell r="I60" t="str">
            <v>done</v>
          </cell>
        </row>
        <row r="61">
          <cell r="D61" t="str">
            <v>0903189079</v>
          </cell>
          <cell r="E61" t="str">
            <v>97T Trần Văn Đang, P.09,Quận 3,Hồ Chí Minh</v>
          </cell>
          <cell r="F61" t="str">
            <v>Bài 2: Cảnh báo đề kháng kháng sinh - Điều trị viêm họng an toàn</v>
          </cell>
          <cell r="G61" t="str">
            <v>11/24/2019 7:25:32 PM</v>
          </cell>
          <cell r="H61" t="str">
            <v>done 2 lession</v>
          </cell>
          <cell r="I61" t="str">
            <v>done</v>
          </cell>
        </row>
        <row r="62">
          <cell r="D62" t="str">
            <v>0946062900</v>
          </cell>
          <cell r="E62" t="str">
            <v>To 32 khu cau xeo, P.Long Thành,Long Thành,Đồng Nai</v>
          </cell>
          <cell r="F62" t="str">
            <v>Bài 2: Cảnh báo đề kháng kháng sinh - Điều trị viêm họng an toàn</v>
          </cell>
          <cell r="G62" t="str">
            <v>12/27/2019 1:36:36 PM</v>
          </cell>
          <cell r="H62" t="str">
            <v>done all</v>
          </cell>
          <cell r="I62" t="str">
            <v>done</v>
          </cell>
        </row>
        <row r="63">
          <cell r="D63" t="str">
            <v>0906930651</v>
          </cell>
          <cell r="E63" t="str">
            <v>134 Cách Mạng Tháng Tám, P.Bình Thủy,Bình Thuỷ,Cần Thơ</v>
          </cell>
          <cell r="F63" t="str">
            <v>Bài 2: Cảnh báo đề kháng kháng sinh - Điều trị viêm họng an toàn</v>
          </cell>
          <cell r="G63" t="str">
            <v>12/24/2019 10:29:19 AM</v>
          </cell>
          <cell r="H63" t="str">
            <v>done all</v>
          </cell>
          <cell r="I63" t="str">
            <v>done</v>
          </cell>
        </row>
        <row r="64">
          <cell r="D64" t="str">
            <v>0945597862</v>
          </cell>
          <cell r="E64" t="str">
            <v>213 Nguyễn Văn Cừ, P.An Bình,Ninh Kiều,Cần Thơ</v>
          </cell>
          <cell r="F64" t="str">
            <v>Bài 2: Cảnh báo đề kháng kháng sinh - Điều trị viêm họng an toàn</v>
          </cell>
          <cell r="G64" t="str">
            <v>11/27/2019 11:31:22 AM</v>
          </cell>
          <cell r="H64" t="str">
            <v>done all</v>
          </cell>
          <cell r="I64" t="str">
            <v>done</v>
          </cell>
        </row>
        <row r="65">
          <cell r="D65" t="str">
            <v>0377446330</v>
          </cell>
          <cell r="E65" t="str">
            <v>65 Mã Mây, P.Hàng Buồm,Hoàn Kiếm,Hà Nội</v>
          </cell>
          <cell r="F65" t="str">
            <v>Bài 2: Cảnh báo đề kháng kháng sinh - Điều trị viêm họng an toàn</v>
          </cell>
          <cell r="G65" t="str">
            <v>12/27/2019 8:13:41 PM</v>
          </cell>
          <cell r="H65" t="str">
            <v>done all</v>
          </cell>
          <cell r="I65" t="str">
            <v>done</v>
          </cell>
        </row>
        <row r="66">
          <cell r="D66" t="str">
            <v>0961729669</v>
          </cell>
          <cell r="E66" t="str">
            <v>Số 6 Trương Định, P.Trương Định,Hai Bà Trưng,Hà Nội</v>
          </cell>
          <cell r="F66" t="str">
            <v>Bài 2: Cảnh báo đề kháng kháng sinh - Điều trị viêm họng an toàn</v>
          </cell>
          <cell r="G66" t="str">
            <v>12/17/2019 12:14:52 PM</v>
          </cell>
          <cell r="H66" t="str">
            <v>done all</v>
          </cell>
          <cell r="I66" t="str">
            <v>done</v>
          </cell>
        </row>
        <row r="67">
          <cell r="D67" t="str">
            <v>0354399713</v>
          </cell>
          <cell r="E67" t="str">
            <v>số 28,phố trung hòa,tổ 18,phường trung hòa, P.Trung Hoà,Cầu Giấy,Hà Nội</v>
          </cell>
          <cell r="F67" t="str">
            <v>Bài 2: Cảnh báo đề kháng kháng sinh - Điều trị viêm họng an toàn</v>
          </cell>
          <cell r="G67" t="str">
            <v>12/27/2019 9:05:03 PM</v>
          </cell>
          <cell r="H67" t="str">
            <v>done all</v>
          </cell>
          <cell r="I67" t="str">
            <v>done</v>
          </cell>
        </row>
        <row r="68">
          <cell r="D68" t="str">
            <v>0395934439</v>
          </cell>
          <cell r="E68" t="str">
            <v>484 Nguyễn Thái Sơn, P.05,Gò Vấp,Hồ Chí Minh</v>
          </cell>
          <cell r="F68" t="str">
            <v>Bài 2: Cảnh báo đề kháng kháng sinh - Điều trị viêm họng an toàn</v>
          </cell>
          <cell r="G68" t="str">
            <v>12/25/2019 6:43:07 PM</v>
          </cell>
          <cell r="H68" t="str">
            <v>done 3 lession</v>
          </cell>
          <cell r="I68" t="str">
            <v>done</v>
          </cell>
        </row>
        <row r="69">
          <cell r="D69" t="str">
            <v>0905081777</v>
          </cell>
          <cell r="E69" t="str">
            <v>CAY SO 5, VINH THANH, NHA TRANG, P.Vĩnh Thạnh,Nha Trang,Khánh Hòa</v>
          </cell>
          <cell r="F69" t="str">
            <v>Bài 2: Cảnh báo đề kháng kháng sinh - Điều trị viêm họng an toàn</v>
          </cell>
          <cell r="G69" t="str">
            <v>12/23/2019 7:20:22 PM</v>
          </cell>
          <cell r="H69" t="str">
            <v>done all</v>
          </cell>
          <cell r="I69" t="str">
            <v>done</v>
          </cell>
        </row>
        <row r="70">
          <cell r="D70" t="str">
            <v>0379175142</v>
          </cell>
          <cell r="E70" t="str">
            <v>299 phan xich long p1 Q PN, P.01,Phú Nhuận,Hồ Chí Minh</v>
          </cell>
          <cell r="F70" t="str">
            <v>Bài 2: Cảnh báo đề kháng kháng sinh - Điều trị viêm họng an toàn</v>
          </cell>
          <cell r="G70" t="str">
            <v>1/7/2020 3:37:42 PM</v>
          </cell>
          <cell r="H70" t="str">
            <v>done all</v>
          </cell>
          <cell r="I70" t="str">
            <v>done</v>
          </cell>
        </row>
        <row r="71">
          <cell r="D71" t="str">
            <v>0335720009</v>
          </cell>
          <cell r="E71" t="str">
            <v>626 Minh Khai, P.Vĩnh Tuy,Hai Bà Trưng,Hà Nội</v>
          </cell>
          <cell r="F71" t="str">
            <v>Bài 2: Cảnh báo đề kháng kháng sinh - Điều trị viêm họng an toàn</v>
          </cell>
          <cell r="G71" t="str">
            <v>12/26/2019 4:05:22 PM</v>
          </cell>
          <cell r="H71" t="str">
            <v>done all</v>
          </cell>
          <cell r="I71" t="str">
            <v>done</v>
          </cell>
        </row>
        <row r="72">
          <cell r="D72" t="str">
            <v>0941600819</v>
          </cell>
          <cell r="E72" t="str">
            <v>152-154 đường B21, Khu dân cư 91B, An Khánh, Ninh Kiều, thành phố Cần Thơ, P.An Khánh,Ninh Kiều,Cần Thơ</v>
          </cell>
          <cell r="F72" t="str">
            <v>Bài 2: Cảnh báo đề kháng kháng sinh - Điều trị viêm họng an toàn</v>
          </cell>
          <cell r="G72" t="str">
            <v>12/19/2019 9:48:14 PM</v>
          </cell>
          <cell r="H72" t="str">
            <v>done all</v>
          </cell>
          <cell r="I72" t="str">
            <v>done</v>
          </cell>
        </row>
        <row r="73">
          <cell r="D73" t="str">
            <v>0903105155</v>
          </cell>
          <cell r="E73" t="str">
            <v>19 HO BA KIEN, PHUONG 15, P.15,Quận 10,Hồ Chí Minh</v>
          </cell>
          <cell r="F73" t="str">
            <v>Bài 2: Cảnh báo đề kháng kháng sinh - Điều trị viêm họng an toàn</v>
          </cell>
          <cell r="G73" t="str">
            <v>12/25/2019 12:21:46 PM</v>
          </cell>
          <cell r="H73" t="str">
            <v>done all</v>
          </cell>
          <cell r="I73" t="str">
            <v>done</v>
          </cell>
        </row>
        <row r="74">
          <cell r="D74" t="str">
            <v>0902029096</v>
          </cell>
          <cell r="E74" t="str">
            <v>317A TO 10- NGUYEN VAN LINH- P. AN KHANH, P.An Khánh,Ninh Kiều,Cần Thơ</v>
          </cell>
          <cell r="F74" t="str">
            <v>Bài 2: Cảnh báo đề kháng kháng sinh - Điều trị viêm họng an toàn</v>
          </cell>
          <cell r="G74" t="str">
            <v>12/21/2019 9:51:06 AM</v>
          </cell>
          <cell r="H74" t="str">
            <v>done all</v>
          </cell>
          <cell r="I74" t="str">
            <v>done</v>
          </cell>
        </row>
        <row r="75">
          <cell r="D75" t="str">
            <v>0906726308</v>
          </cell>
          <cell r="E75" t="str">
            <v>98/12c vo thi sau , P.Quyết Thắng,Biên Hòa,Đồng Nai</v>
          </cell>
          <cell r="F75" t="str">
            <v>Bài 2: Cảnh báo đề kháng kháng sinh - Điều trị viêm họng an toàn</v>
          </cell>
          <cell r="G75" t="str">
            <v>12/9/2019 9:25:34 AM</v>
          </cell>
          <cell r="H75" t="str">
            <v>done all</v>
          </cell>
          <cell r="I75" t="str">
            <v>done</v>
          </cell>
        </row>
        <row r="76">
          <cell r="D76" t="str">
            <v>0945707337</v>
          </cell>
          <cell r="E76" t="str">
            <v>27 Nguyễn Hiền, P.An Khánh,Ninh Kiều,Cần Thơ</v>
          </cell>
          <cell r="F76" t="str">
            <v>Bài 2: Cảnh báo đề kháng kháng sinh - Điều trị viêm họng an toàn</v>
          </cell>
          <cell r="G76" t="str">
            <v>12/28/2019 5:59:51 PM</v>
          </cell>
          <cell r="H76" t="str">
            <v>done all</v>
          </cell>
          <cell r="I76" t="str">
            <v>done</v>
          </cell>
        </row>
        <row r="77">
          <cell r="D77" t="str">
            <v>0907281808</v>
          </cell>
          <cell r="E77" t="str">
            <v>50, P.Bến Nghé,Quận 1,Hồ Chí Minh</v>
          </cell>
          <cell r="F77" t="str">
            <v>Bài 2: Cảnh báo đề kháng kháng sinh - Điều trị viêm họng an toàn</v>
          </cell>
          <cell r="G77" t="str">
            <v>12/21/2019 6:25:30 PM</v>
          </cell>
          <cell r="H77" t="str">
            <v>done all</v>
          </cell>
          <cell r="I77" t="str">
            <v>done</v>
          </cell>
        </row>
        <row r="78">
          <cell r="D78" t="str">
            <v>0397266640</v>
          </cell>
          <cell r="E78" t="str">
            <v>105/168 , P.Ngọc Khánh,Ba Đình,Hà Nội</v>
          </cell>
          <cell r="F78" t="str">
            <v>Bài 2: Cảnh báo đề kháng kháng sinh - Điều trị viêm họng an toàn</v>
          </cell>
          <cell r="G78" t="str">
            <v>12/27/2019 12:23:30 PM</v>
          </cell>
          <cell r="H78" t="str">
            <v>done 3 lession</v>
          </cell>
          <cell r="I78" t="str">
            <v>done</v>
          </cell>
        </row>
        <row r="79">
          <cell r="D79" t="str">
            <v>0965983541</v>
          </cell>
          <cell r="E79" t="str">
            <v>15b1, P.Thành Công,Ba Đình,Hà Nội</v>
          </cell>
          <cell r="F79" t="str">
            <v>Bài 2: Cảnh báo đề kháng kháng sinh - Điều trị viêm họng an toàn</v>
          </cell>
          <cell r="G79" t="str">
            <v>12/28/2019 2:56:35 PM</v>
          </cell>
          <cell r="H79" t="str">
            <v>done all</v>
          </cell>
          <cell r="I79" t="str">
            <v>done</v>
          </cell>
        </row>
        <row r="80">
          <cell r="D80" t="str">
            <v>0943035757</v>
          </cell>
          <cell r="E80" t="str">
            <v>208 ymoan, P.Tân Lợi,Buôn Ma Thuột,Đắk Lắk</v>
          </cell>
          <cell r="F80" t="str">
            <v>Bài 2: Cảnh báo đề kháng kháng sinh - Điều trị viêm họng an toàn</v>
          </cell>
          <cell r="G80" t="str">
            <v>1/2/2020 12:41:55 PM</v>
          </cell>
          <cell r="H80" t="str">
            <v>done all</v>
          </cell>
          <cell r="I80" t="str">
            <v>done</v>
          </cell>
        </row>
        <row r="81">
          <cell r="D81" t="str">
            <v>02623812452</v>
          </cell>
          <cell r="E81" t="str">
            <v>01 lý thường kiệt, P.Tân Tiến,Buôn Ma Thuột,Đắk Lắk</v>
          </cell>
          <cell r="F81" t="str">
            <v>Bài 2: Cảnh báo đề kháng kháng sinh - Điều trị viêm họng an toàn</v>
          </cell>
          <cell r="G81" t="str">
            <v>1/3/2020 4:47:37 PM</v>
          </cell>
          <cell r="H81" t="str">
            <v>done all</v>
          </cell>
          <cell r="I81" t="str">
            <v>done</v>
          </cell>
        </row>
        <row r="82">
          <cell r="D82" t="str">
            <v>0915559667</v>
          </cell>
          <cell r="E82" t="str">
            <v>110,Tổ 9,kp 8, P.Vĩnh An,Vĩnh Cửu,Đồng Nai</v>
          </cell>
          <cell r="F82" t="str">
            <v>Bài 2: Cảnh báo đề kháng kháng sinh - Điều trị viêm họng an toàn</v>
          </cell>
          <cell r="G82" t="str">
            <v>12/22/2019 5:39:36 PM</v>
          </cell>
          <cell r="H82" t="str">
            <v>done 3 lession</v>
          </cell>
          <cell r="I82" t="str">
            <v>done</v>
          </cell>
        </row>
        <row r="83">
          <cell r="D83" t="str">
            <v>0912075607</v>
          </cell>
          <cell r="E83" t="str">
            <v>76 Bát Sứ, P.Hàng Bồ,Hoàn Kiếm,Hà Nội</v>
          </cell>
          <cell r="F83" t="str">
            <v>Bài 2: Cảnh báo đề kháng kháng sinh - Điều trị viêm họng an toàn</v>
          </cell>
          <cell r="G83" t="str">
            <v>1/8/2020 9:04:54 PM</v>
          </cell>
          <cell r="H83" t="str">
            <v>done all</v>
          </cell>
          <cell r="I83" t="str">
            <v>done</v>
          </cell>
        </row>
        <row r="84">
          <cell r="D84" t="str">
            <v>01644047086</v>
          </cell>
          <cell r="E84" t="str">
            <v>Vườn Chuối, P.04, Quận 3, Hồ Chí Minh</v>
          </cell>
          <cell r="F84" t="str">
            <v>Bài 2: Cảnh báo đề kháng kháng sinh - Điều trị viêm họng an toàn</v>
          </cell>
          <cell r="G84" t="str">
            <v>1/14/2020 3:52:29 PM</v>
          </cell>
          <cell r="H84" t="str">
            <v>done 2 lession</v>
          </cell>
          <cell r="I84" t="str">
            <v>done</v>
          </cell>
        </row>
        <row r="85">
          <cell r="D85" t="str">
            <v>0985733759</v>
          </cell>
          <cell r="E85" t="str">
            <v>169 Hồng mai, P.Quỳnh Lôi,Hai Bà Trưng,Hà Nội</v>
          </cell>
          <cell r="F85" t="str">
            <v>Bài 2: Cảnh báo đề kháng kháng sinh - Điều trị viêm họng an toàn</v>
          </cell>
          <cell r="G85" t="str">
            <v>12/10/2019 3:21:42 PM</v>
          </cell>
          <cell r="H85" t="str">
            <v>done all</v>
          </cell>
          <cell r="I85" t="str">
            <v>done</v>
          </cell>
        </row>
        <row r="86">
          <cell r="D86" t="str">
            <v>0939434998</v>
          </cell>
          <cell r="E86" t="str">
            <v>24/14 Trần Việt Châu, P.An Hòa,Ninh Kiều,Cần Thơ</v>
          </cell>
          <cell r="F86" t="str">
            <v>Bài 2: Cảnh báo đề kháng kháng sinh - Điều trị viêm họng an toàn</v>
          </cell>
          <cell r="G86" t="str">
            <v>12/23/2019 5:27:11 PM</v>
          </cell>
          <cell r="H86" t="str">
            <v>done all</v>
          </cell>
          <cell r="I86" t="str">
            <v>done</v>
          </cell>
        </row>
        <row r="87">
          <cell r="D87" t="str">
            <v>0915484687</v>
          </cell>
          <cell r="E87" t="str">
            <v>Phạm Văn Thuận, P.Tam Hiệp,Biên Hòa,Đồng Nai</v>
          </cell>
          <cell r="F87" t="str">
            <v>Bài 2: Cảnh báo đề kháng kháng sinh - Điều trị viêm họng an toàn</v>
          </cell>
          <cell r="G87" t="str">
            <v>12/9/2019 10:19:22 AM</v>
          </cell>
          <cell r="H87" t="str">
            <v>done all</v>
          </cell>
          <cell r="I87" t="str">
            <v>done</v>
          </cell>
        </row>
        <row r="88">
          <cell r="D88" t="str">
            <v>0387758349</v>
          </cell>
          <cell r="E88" t="str">
            <v>tổ 6khu phố 1 phường long binh , P.Long Bình,Biên Hòa,Đồng Nai</v>
          </cell>
          <cell r="F88" t="str">
            <v>Bài 2: Cảnh báo đề kháng kháng sinh - Điều trị viêm họng an toàn</v>
          </cell>
          <cell r="G88" t="str">
            <v>12/9/2019 10:56:14 AM</v>
          </cell>
          <cell r="H88" t="str">
            <v>done 2 lession</v>
          </cell>
          <cell r="I88" t="str">
            <v>done</v>
          </cell>
        </row>
        <row r="89">
          <cell r="D89" t="str">
            <v>0907270670</v>
          </cell>
          <cell r="E89" t="str">
            <v>180 Nguyễn An Ninh, P.Tân An,Ninh Kiều,Cần Thơ</v>
          </cell>
          <cell r="F89" t="str">
            <v>Bài 2: Cảnh báo đề kháng kháng sinh - Điều trị viêm họng an toàn</v>
          </cell>
          <cell r="G89" t="str">
            <v>11/28/2019 9:00:30 AM</v>
          </cell>
          <cell r="H89" t="str">
            <v>done 2 lession</v>
          </cell>
          <cell r="I89" t="str">
            <v>done</v>
          </cell>
        </row>
        <row r="90">
          <cell r="D90" t="str">
            <v>0916542253</v>
          </cell>
          <cell r="E90" t="str">
            <v>23 hòn nghê, P.Vĩnh Ngọc,Nha Trang,Khánh Hòa</v>
          </cell>
          <cell r="F90" t="str">
            <v>Bài 2: Cảnh báo đề kháng kháng sinh - Điều trị viêm họng an toàn</v>
          </cell>
          <cell r="G90" t="str">
            <v>12/17/2019 11:09:20 AM</v>
          </cell>
          <cell r="H90" t="str">
            <v>done all</v>
          </cell>
          <cell r="I90" t="str">
            <v>done</v>
          </cell>
        </row>
        <row r="91">
          <cell r="D91" t="str">
            <v>0918585915</v>
          </cell>
          <cell r="E91" t="str">
            <v>số 3, Nguyễn thành Đồng, P.Trảng Dài,Biên Hòa,Đồng Nai</v>
          </cell>
          <cell r="F91" t="str">
            <v>Bài 2: Cảnh báo đề kháng kháng sinh - Điều trị viêm họng an toàn</v>
          </cell>
          <cell r="G91" t="str">
            <v>1/8/2020 8:40:51 AM</v>
          </cell>
          <cell r="H91" t="str">
            <v>done 3 lession</v>
          </cell>
          <cell r="I91" t="str">
            <v>done</v>
          </cell>
        </row>
        <row r="92">
          <cell r="D92" t="str">
            <v>0978650481</v>
          </cell>
          <cell r="E92" t="str">
            <v>105/168, P.Ngọc Khánh,Ba Đình,Hà Nội</v>
          </cell>
          <cell r="F92" t="str">
            <v>Bài 2: Cảnh báo đề kháng kháng sinh - Điều trị viêm họng an toàn</v>
          </cell>
          <cell r="G92" t="str">
            <v>12/27/2019 12:48:42 PM</v>
          </cell>
          <cell r="H92" t="str">
            <v>done 2 lession</v>
          </cell>
          <cell r="I92" t="str">
            <v>done</v>
          </cell>
        </row>
        <row r="93">
          <cell r="D93" t="str">
            <v>0989868281</v>
          </cell>
          <cell r="E93" t="str">
            <v>15b1, P.Thành Công,Ba Đình,Hà Nội</v>
          </cell>
          <cell r="F93" t="str">
            <v>Bài 2: Cảnh báo đề kháng kháng sinh - Điều trị viêm họng an toàn</v>
          </cell>
          <cell r="G93" t="str">
            <v>12/28/2019 2:32:53 PM</v>
          </cell>
          <cell r="H93" t="str">
            <v>done all</v>
          </cell>
          <cell r="I93" t="str">
            <v>done</v>
          </cell>
        </row>
        <row r="94">
          <cell r="D94" t="str">
            <v>0904010682</v>
          </cell>
          <cell r="E94" t="str">
            <v>212 phùng hưng, P.Phúc La,Hà Đông,Hà Nội</v>
          </cell>
          <cell r="F94" t="str">
            <v>Bài 2: Cảnh báo đề kháng kháng sinh - Điều trị viêm họng an toàn</v>
          </cell>
          <cell r="G94" t="str">
            <v>12/27/2019 6:52:27 PM</v>
          </cell>
          <cell r="H94" t="str">
            <v>done 3 lession</v>
          </cell>
          <cell r="I94" t="str">
            <v>done</v>
          </cell>
        </row>
        <row r="95">
          <cell r="D95" t="str">
            <v>0375318796</v>
          </cell>
          <cell r="E95" t="str">
            <v>số 3 phố hoa bằng,phường yên hòa, P.Yên Hoà,Cầu Giấy,Hà Nội</v>
          </cell>
          <cell r="F95" t="str">
            <v>Bài 2: Cảnh báo đề kháng kháng sinh - Điều trị viêm họng an toàn</v>
          </cell>
          <cell r="G95" t="str">
            <v>12/26/2019 3:40:08 PM</v>
          </cell>
          <cell r="H95" t="str">
            <v>done all</v>
          </cell>
          <cell r="I95" t="str">
            <v>done</v>
          </cell>
        </row>
        <row r="96">
          <cell r="D96" t="str">
            <v>0988838375</v>
          </cell>
          <cell r="E96" t="str">
            <v>Tang 1,so 145 tran dang ninh, P.Dịch Vọng,Cầu Giấy,Hà Nội</v>
          </cell>
          <cell r="F96" t="str">
            <v>Bài 2: Cảnh báo đề kháng kháng sinh - Điều trị viêm họng an toàn</v>
          </cell>
          <cell r="G96" t="str">
            <v>1/7/2020 8:00:41 PM</v>
          </cell>
          <cell r="H96" t="str">
            <v>done all</v>
          </cell>
          <cell r="I96" t="str">
            <v>done</v>
          </cell>
        </row>
        <row r="97">
          <cell r="D97" t="str">
            <v>0939461806</v>
          </cell>
          <cell r="E97" t="str">
            <v>21C Nguyễn Văn Linh, P.Hưng Lợi,Ninh Kiều,Cần Thơ</v>
          </cell>
          <cell r="F97" t="str">
            <v>Bài 2: Cảnh báo đề kháng kháng sinh - Điều trị viêm họng an toàn</v>
          </cell>
          <cell r="G97" t="str">
            <v>12/6/2019 9:43:46 PM</v>
          </cell>
          <cell r="H97" t="str">
            <v>done all</v>
          </cell>
          <cell r="I97" t="str">
            <v>done</v>
          </cell>
        </row>
        <row r="98">
          <cell r="D98" t="str">
            <v>0978346096</v>
          </cell>
          <cell r="E98" t="str">
            <v>54 Quán sứ, P.Hàng Bông,Hoàn Kiếm,Hà Nội</v>
          </cell>
          <cell r="F98" t="str">
            <v>Bài 2: Cảnh báo đề kháng kháng sinh - Điều trị viêm họng an toàn</v>
          </cell>
          <cell r="G98" t="str">
            <v>12/25/2019 8:17:41 AM</v>
          </cell>
          <cell r="H98" t="str">
            <v>done 1 lession</v>
          </cell>
          <cell r="I98" t="str">
            <v>done</v>
          </cell>
        </row>
        <row r="99">
          <cell r="D99" t="str">
            <v>0942419868</v>
          </cell>
          <cell r="E99" t="str">
            <v>21 yen lac, P.Vĩnh Tuy,Hai Bà Trưng,Hà Nội</v>
          </cell>
          <cell r="F99" t="str">
            <v>Bài 2: Cảnh báo đề kháng kháng sinh - Điều trị viêm họng an toàn</v>
          </cell>
          <cell r="G99" t="str">
            <v>12/26/2019 4:41:18 PM</v>
          </cell>
          <cell r="H99" t="str">
            <v>done all</v>
          </cell>
          <cell r="I99" t="str">
            <v>done</v>
          </cell>
        </row>
        <row r="100">
          <cell r="D100" t="str">
            <v>0834600462</v>
          </cell>
          <cell r="E100" t="str">
            <v>tổ 5, kp 5, P.Long Bình,Biên Hòa,Đồng Nai</v>
          </cell>
          <cell r="F100" t="str">
            <v>Bài 2: Cảnh báo đề kháng kháng sinh - Điều trị viêm họng an toàn</v>
          </cell>
          <cell r="G100" t="str">
            <v>12/23/2019 5:01:21 PM</v>
          </cell>
          <cell r="H100" t="str">
            <v>done all</v>
          </cell>
          <cell r="I100" t="str">
            <v>done</v>
          </cell>
        </row>
        <row r="101">
          <cell r="D101" t="str">
            <v>0906779084</v>
          </cell>
          <cell r="E101" t="str">
            <v>382 Nguyễn Văn Nghi, P.07,Gò Vấp,Hồ Chí Minh</v>
          </cell>
          <cell r="F101" t="str">
            <v>Bài 2: Cảnh báo đề kháng kháng sinh - Điều trị viêm họng an toàn</v>
          </cell>
          <cell r="G101" t="str">
            <v>1/9/2020 10:33:39 AM</v>
          </cell>
          <cell r="H101" t="str">
            <v>done all</v>
          </cell>
          <cell r="I101" t="str">
            <v>done</v>
          </cell>
        </row>
        <row r="102">
          <cell r="D102" t="str">
            <v>0986417770</v>
          </cell>
          <cell r="E102" t="str">
            <v>54/1 Hùng Vương, P.Thới Bình,Ninh Kiều,Cần Thơ</v>
          </cell>
          <cell r="F102" t="str">
            <v>Bài 2: Cảnh báo đề kháng kháng sinh - Điều trị viêm họng an toàn</v>
          </cell>
          <cell r="G102" t="str">
            <v>11/25/2019 9:31:11 AM</v>
          </cell>
          <cell r="H102" t="str">
            <v>done all</v>
          </cell>
          <cell r="I102" t="str">
            <v>done</v>
          </cell>
        </row>
        <row r="103">
          <cell r="D103" t="str">
            <v>0902645841</v>
          </cell>
          <cell r="E103" t="str">
            <v>86 Lê Hồng Phong, P.Trà Nóc,Bình Thuỷ,Cần Thơ</v>
          </cell>
          <cell r="F103" t="str">
            <v>Bài 2: Cảnh báo đề kháng kháng sinh - Điều trị viêm họng an toàn</v>
          </cell>
          <cell r="G103" t="str">
            <v>12/21/2019 8:10:02 AM</v>
          </cell>
          <cell r="H103" t="str">
            <v>done all</v>
          </cell>
          <cell r="I103" t="str">
            <v>done</v>
          </cell>
        </row>
        <row r="104">
          <cell r="D104" t="str">
            <v>0987631684</v>
          </cell>
          <cell r="E104" t="str">
            <v>72 thanh bình, P.Mộ Lao,Hà Đông,Hà Nội</v>
          </cell>
          <cell r="F104" t="str">
            <v>Bài 2: Cảnh báo đề kháng kháng sinh - Điều trị viêm họng an toàn</v>
          </cell>
          <cell r="G104" t="str">
            <v>12/27/2019 6:26:18 PM</v>
          </cell>
          <cell r="H104" t="str">
            <v>done 2 lession</v>
          </cell>
          <cell r="I104" t="str">
            <v>done</v>
          </cell>
        </row>
        <row r="105">
          <cell r="D105" t="str">
            <v>0969543442</v>
          </cell>
          <cell r="E105" t="str">
            <v>82 lo đúc, P.Ngô Thì Nhậm,Hai Bà Trưng,Hà Nội</v>
          </cell>
          <cell r="F105" t="str">
            <v>Bài 2: Cảnh báo đề kháng kháng sinh - Điều trị viêm họng an toàn</v>
          </cell>
          <cell r="G105" t="str">
            <v>12/27/2019 11:57:48 AM</v>
          </cell>
          <cell r="H105" t="str">
            <v>done all</v>
          </cell>
          <cell r="I105" t="str">
            <v>done</v>
          </cell>
        </row>
        <row r="106">
          <cell r="D106" t="str">
            <v>0329896636</v>
          </cell>
          <cell r="E106" t="str">
            <v>17 ,ap 3 xa Tam An , P.Long Thành,Long Thành,Đồng Nai</v>
          </cell>
          <cell r="F106" t="str">
            <v>Bài 2: Cảnh báo đề kháng kháng sinh - Điều trị viêm họng an toàn</v>
          </cell>
          <cell r="G106" t="str">
            <v>12/19/2019 4:02:00 PM</v>
          </cell>
          <cell r="H106" t="str">
            <v>done all</v>
          </cell>
          <cell r="I106" t="str">
            <v>done</v>
          </cell>
        </row>
        <row r="107">
          <cell r="D107" t="str">
            <v>0908561888</v>
          </cell>
          <cell r="E107" t="str">
            <v>39 Nguyên Huy Tu , P.Tân Định,Quận 1,Hồ Chí Minh</v>
          </cell>
          <cell r="F107" t="str">
            <v>Bài 2: Cảnh báo đề kháng kháng sinh - Điều trị viêm họng an toàn</v>
          </cell>
          <cell r="G107" t="str">
            <v>1/10/2020 2:41:00 PM</v>
          </cell>
          <cell r="H107" t="str">
            <v>done 3 lession</v>
          </cell>
          <cell r="I107" t="str">
            <v>done</v>
          </cell>
        </row>
        <row r="108">
          <cell r="D108" t="str">
            <v>0379451595</v>
          </cell>
          <cell r="E108" t="str">
            <v>Bà Hạt 436, P.08,Quận 10,Hồ Chí Minh</v>
          </cell>
          <cell r="F108" t="str">
            <v>Bài 2: Cảnh báo đề kháng kháng sinh - Điều trị viêm họng an toàn</v>
          </cell>
          <cell r="G108" t="str">
            <v>11/27/2019 5:11:03 PM</v>
          </cell>
          <cell r="H108" t="str">
            <v>done 3 lession</v>
          </cell>
          <cell r="I108" t="str">
            <v>done</v>
          </cell>
        </row>
        <row r="109">
          <cell r="D109" t="str">
            <v>0974641909</v>
          </cell>
          <cell r="E109" t="str">
            <v>106h4, P.Thành Công,Ba Đình,Hà Nội</v>
          </cell>
          <cell r="F109" t="str">
            <v>Bài 2: Cảnh báo đề kháng kháng sinh - Điều trị viêm họng an toàn</v>
          </cell>
          <cell r="G109" t="str">
            <v>12/28/2019 5:32:27 PM</v>
          </cell>
          <cell r="H109" t="str">
            <v>done all</v>
          </cell>
          <cell r="I109" t="str">
            <v>done</v>
          </cell>
        </row>
        <row r="110">
          <cell r="D110" t="str">
            <v>0908500860</v>
          </cell>
          <cell r="E110" t="str">
            <v>1G Văn Cao, P.Tây Thạnh,Tân Phú,Hồ Chí Minh</v>
          </cell>
          <cell r="F110" t="str">
            <v>Bài 2: Cảnh báo đề kháng kháng sinh - Điều trị viêm họng an toàn</v>
          </cell>
          <cell r="G110" t="str">
            <v>12/25/2019 2:33:14 PM</v>
          </cell>
          <cell r="H110" t="str">
            <v>done all</v>
          </cell>
          <cell r="I110" t="str">
            <v>done</v>
          </cell>
        </row>
        <row r="111">
          <cell r="D111" t="str">
            <v>0779719086</v>
          </cell>
          <cell r="E111" t="str">
            <v>Phạm Văn Thuận/90/1 khu phố 3, P.Tam Hiệp,Biên Hòa,Đồng Nai</v>
          </cell>
          <cell r="F111" t="str">
            <v>Bài 2: Cảnh báo đề kháng kháng sinh - Điều trị viêm họng an toàn</v>
          </cell>
          <cell r="G111" t="str">
            <v>12/10/2019 9:51:53 AM</v>
          </cell>
          <cell r="H111" t="str">
            <v>done 3 lession</v>
          </cell>
          <cell r="I111" t="str">
            <v>done</v>
          </cell>
        </row>
        <row r="112">
          <cell r="D112" t="str">
            <v>0932282066</v>
          </cell>
          <cell r="E112" t="str">
            <v>57 tân ấp, P.Phúc Xá,Ba Đình,Hà Nội</v>
          </cell>
          <cell r="F112" t="str">
            <v>Bài 2: Cảnh báo đề kháng kháng sinh - Điều trị viêm họng an toàn</v>
          </cell>
          <cell r="G112" t="str">
            <v>12/27/2019 4:18:43 PM</v>
          </cell>
          <cell r="H112" t="str">
            <v>done 3 lession</v>
          </cell>
          <cell r="I112" t="str">
            <v>done</v>
          </cell>
        </row>
        <row r="113">
          <cell r="D113" t="str">
            <v>0949325551</v>
          </cell>
          <cell r="E113" t="str">
            <v>K3/242D Bui Huu Nghia BH-ĐN, P.Bửu Hòa,Biên Hòa,Đồng Nai</v>
          </cell>
          <cell r="F113" t="str">
            <v>Bài 2: Cảnh báo đề kháng kháng sinh - Điều trị viêm họng an toàn</v>
          </cell>
          <cell r="G113" t="str">
            <v>12/21/2019 7:48:24 PM</v>
          </cell>
          <cell r="H113" t="str">
            <v>done all</v>
          </cell>
          <cell r="I113" t="str">
            <v>done</v>
          </cell>
        </row>
        <row r="114">
          <cell r="D114" t="str">
            <v>0838447748</v>
          </cell>
          <cell r="E114" t="str">
            <v>484 bạch mai, P.Trương Định,Hai Bà Trưng,Hà Nội</v>
          </cell>
          <cell r="F114" t="str">
            <v>Bài 2: Cảnh báo đề kháng kháng sinh - Điều trị viêm họng an toàn</v>
          </cell>
          <cell r="G114" t="str">
            <v>12/11/2019 11:05:19 AM</v>
          </cell>
          <cell r="H114" t="str">
            <v>done all</v>
          </cell>
          <cell r="I114" t="str">
            <v>done</v>
          </cell>
        </row>
        <row r="115">
          <cell r="D115" t="str">
            <v>0366813637</v>
          </cell>
          <cell r="E115" t="str">
            <v>191 Huỳnh Văn Nghệ ,kp2 , phường bửu long , tp biên hòa , đồng nai, P.Bửu Long,Biên Hòa,Đồng Nai</v>
          </cell>
          <cell r="F115" t="str">
            <v>Bài 2: Cảnh báo đề kháng kháng sinh - Điều trị viêm họng an toàn</v>
          </cell>
          <cell r="G115" t="str">
            <v>12/27/2019 6:13:15 AM</v>
          </cell>
          <cell r="H115" t="str">
            <v>done all</v>
          </cell>
          <cell r="I115" t="str">
            <v>done</v>
          </cell>
        </row>
        <row r="116">
          <cell r="D116" t="str">
            <v>0986506734</v>
          </cell>
          <cell r="E116" t="str">
            <v>Nhà số 28,A20,khu tập thể nghĩa tân, P.Nghĩa Tân,Cầu Giấy,Hà Nội</v>
          </cell>
          <cell r="F116" t="str">
            <v>Bài 2: Cảnh báo đề kháng kháng sinh - Điều trị viêm họng an toàn</v>
          </cell>
          <cell r="G116" t="str">
            <v>1/14/2020 11:10:29 AM</v>
          </cell>
          <cell r="H116" t="str">
            <v>done all</v>
          </cell>
          <cell r="I116" t="str">
            <v>done</v>
          </cell>
        </row>
        <row r="117">
          <cell r="D117" t="str">
            <v>0352028046</v>
          </cell>
          <cell r="E117" t="str">
            <v>180 minh phung , P.06,Quận 6,Hồ Chí Minh</v>
          </cell>
          <cell r="F117" t="str">
            <v>Bài 2: Cảnh báo đề kháng kháng sinh - Điều trị viêm họng an toàn</v>
          </cell>
          <cell r="G117" t="str">
            <v>11/27/2019 11:29:47 AM</v>
          </cell>
          <cell r="H117" t="str">
            <v>done all</v>
          </cell>
          <cell r="I117" t="str">
            <v>done</v>
          </cell>
        </row>
        <row r="118">
          <cell r="D118" t="str">
            <v>0937451684</v>
          </cell>
          <cell r="E118" t="str">
            <v>247 to 5 khu phước hải, P.Long Thành,Long Thành,Đồng Nai</v>
          </cell>
          <cell r="F118" t="str">
            <v>Bài 2: Cảnh báo đề kháng kháng sinh - Điều trị viêm họng an toàn</v>
          </cell>
          <cell r="G118" t="str">
            <v>12/27/2019 1:16:51 PM</v>
          </cell>
          <cell r="H118" t="str">
            <v>done all</v>
          </cell>
          <cell r="I118" t="str">
            <v>done</v>
          </cell>
        </row>
        <row r="119">
          <cell r="D119" t="str">
            <v>0773789219</v>
          </cell>
          <cell r="E119" t="str">
            <v>246 Dương Quảng Hàm, phường 5, quận Gò Vấp, P.05,Gò Vấp,Hồ Chí Minh</v>
          </cell>
          <cell r="F119" t="str">
            <v>Bài 2: Cảnh báo đề kháng kháng sinh - Điều trị viêm họng an toàn</v>
          </cell>
          <cell r="G119" t="str">
            <v>1/6/2020 11:55:10 AM</v>
          </cell>
          <cell r="H119" t="str">
            <v>done all</v>
          </cell>
          <cell r="I119" t="str">
            <v>done</v>
          </cell>
        </row>
        <row r="120">
          <cell r="D120" t="str">
            <v>0934087637</v>
          </cell>
          <cell r="E120" t="str">
            <v>257B Nguyen Bieu- P. 2, P.02,Quận 5,Hồ Chí Minh</v>
          </cell>
          <cell r="F120" t="str">
            <v>Bài 2: Cảnh báo đề kháng kháng sinh - Điều trị viêm họng an toàn</v>
          </cell>
          <cell r="G120" t="str">
            <v>1/2/2020 8:48:22 PM</v>
          </cell>
          <cell r="H120" t="str">
            <v>done all</v>
          </cell>
          <cell r="I120" t="str">
            <v>done</v>
          </cell>
        </row>
      </sheetData>
      <sheetData sheetId="5"/>
      <sheetData sheetId="6">
        <row r="8">
          <cell r="D8" t="str">
            <v>0932908301</v>
          </cell>
          <cell r="E8" t="str">
            <v>144 DUONG BA TRAC, P.2, P.02,Quận 8,Hồ Chí Minh</v>
          </cell>
          <cell r="F8" t="str">
            <v>Bài 3: Bệnh viêm cấp tính đường hô hấp ở trẻ em - Nhà thuốc có thể làm gì?</v>
          </cell>
          <cell r="G8" t="str">
            <v>2/3/2020 5:20:32 PM</v>
          </cell>
          <cell r="H8" t="str">
            <v>done 1 lession</v>
          </cell>
          <cell r="I8" t="str">
            <v>done</v>
          </cell>
        </row>
        <row r="9">
          <cell r="D9" t="str">
            <v>0356952959</v>
          </cell>
          <cell r="E9" t="str">
            <v>Khu do thi thanh thai, P.Dịch Vọng,Cầu Giấy,Hà Nội</v>
          </cell>
          <cell r="F9" t="str">
            <v>Bài 3: Bệnh viêm cấp tính đường hô hấp ở trẻ em - Nhà thuốc có thể làm gì?</v>
          </cell>
          <cell r="G9" t="str">
            <v>12/28/2019 1:10:14 AM</v>
          </cell>
          <cell r="H9" t="str">
            <v>done 1 lession</v>
          </cell>
          <cell r="I9" t="str">
            <v>done</v>
          </cell>
        </row>
        <row r="10">
          <cell r="D10" t="str">
            <v>0362225885</v>
          </cell>
          <cell r="E10" t="str">
            <v>35 cũ nay 251 Trần Đại Nghĩa, P.Đồng Tâm,Hai Bà Trưng,Hà Nội</v>
          </cell>
          <cell r="F10" t="str">
            <v>Bài 3: Bệnh viêm cấp tính đường hô hấp ở trẻ em - Nhà thuốc có thể làm gì?</v>
          </cell>
          <cell r="G10" t="str">
            <v>12/18/2019 9:43:31 AM</v>
          </cell>
          <cell r="H10" t="str">
            <v>done all</v>
          </cell>
          <cell r="I10" t="str">
            <v>done</v>
          </cell>
        </row>
        <row r="11">
          <cell r="D11" t="str">
            <v>0937234829</v>
          </cell>
          <cell r="E11" t="str">
            <v>Cong quynh, P.Phạm Ngũ Lão,Quận 1,Hồ Chí Minh</v>
          </cell>
          <cell r="F11" t="str">
            <v>Bài 3: Bệnh viêm cấp tính đường hô hấp ở trẻ em - Nhà thuốc có thể làm gì?</v>
          </cell>
          <cell r="G11" t="str">
            <v>12/16/2019 3:25:45 PM</v>
          </cell>
          <cell r="H11" t="str">
            <v>done all</v>
          </cell>
          <cell r="I11" t="str">
            <v>done</v>
          </cell>
        </row>
        <row r="12">
          <cell r="D12" t="str">
            <v>0915960698</v>
          </cell>
          <cell r="E12" t="str">
            <v>105/168, P.Ngọc Khánh,Ba Đình,Hà Nội</v>
          </cell>
          <cell r="F12" t="str">
            <v>Bài 3: Bệnh viêm cấp tính đường hô hấp ở trẻ em - Nhà thuốc có thể làm gì?</v>
          </cell>
          <cell r="G12" t="str">
            <v>12/27/2019 12:53:48 PM</v>
          </cell>
          <cell r="H12" t="str">
            <v>done 3 lession</v>
          </cell>
          <cell r="I12" t="str">
            <v>done</v>
          </cell>
        </row>
        <row r="13">
          <cell r="D13" t="str">
            <v>0978974964</v>
          </cell>
          <cell r="E13" t="str">
            <v>quốc lộ 14, P.Pơng Drang,Krông Búk,Đắk Lắk</v>
          </cell>
          <cell r="F13" t="str">
            <v>Bài 3: Bệnh viêm cấp tính đường hô hấp ở trẻ em - Nhà thuốc có thể làm gì?</v>
          </cell>
          <cell r="G13" t="str">
            <v>12/31/2019 2:48:35 PM</v>
          </cell>
          <cell r="H13" t="str">
            <v>done 3 lession</v>
          </cell>
          <cell r="I13" t="str">
            <v>done</v>
          </cell>
        </row>
        <row r="14">
          <cell r="D14" t="str">
            <v>0985620123</v>
          </cell>
          <cell r="E14" t="str">
            <v>412 Le Lai, P.Đông Sơn,Thanh Hóa,Thanh Hóa</v>
          </cell>
          <cell r="F14" t="str">
            <v>Bài 3: Bệnh viêm cấp tính đường hô hấp ở trẻ em - Nhà thuốc có thể làm gì?</v>
          </cell>
          <cell r="G14" t="str">
            <v>2/3/2020 5:36:32 PM</v>
          </cell>
          <cell r="H14" t="e">
            <v>#N/A</v>
          </cell>
          <cell r="I14" t="str">
            <v>done</v>
          </cell>
        </row>
        <row r="15">
          <cell r="D15" t="str">
            <v>0902117077</v>
          </cell>
          <cell r="E15" t="str">
            <v>198 Xã Đàn, P.Ô Chợ Dừa,Đống Đa,Hà Nội</v>
          </cell>
          <cell r="F15" t="str">
            <v>Bài 3: Bệnh viêm cấp tính đường hô hấp ở trẻ em - Nhà thuốc có thể làm gì?</v>
          </cell>
          <cell r="G15" t="str">
            <v>12/19/2019 11:39:26 AM</v>
          </cell>
          <cell r="H15" t="str">
            <v>done all</v>
          </cell>
          <cell r="I15" t="str">
            <v>done</v>
          </cell>
        </row>
        <row r="16">
          <cell r="D16" t="str">
            <v>0903325275</v>
          </cell>
          <cell r="E16" t="str">
            <v>12, P.Đội Cấn,Ba Đình,Hà Nội</v>
          </cell>
          <cell r="F16" t="str">
            <v>Bài 3: Bệnh viêm cấp tính đường hô hấp ở trẻ em - Nhà thuốc có thể làm gì?</v>
          </cell>
          <cell r="G16" t="str">
            <v>12/27/2019 9:50:31 PM</v>
          </cell>
          <cell r="H16" t="str">
            <v>done all</v>
          </cell>
          <cell r="I16" t="str">
            <v>done</v>
          </cell>
        </row>
        <row r="17">
          <cell r="D17" t="str">
            <v>0704968018</v>
          </cell>
          <cell r="E17" t="str">
            <v>110/12 NGUYEN VIET HONG- P. AN PHU, P.An Phú,Ninh Kiều,Cần Thơ</v>
          </cell>
          <cell r="F17" t="str">
            <v>Bài 3: Bệnh viêm cấp tính đường hô hấp ở trẻ em - Nhà thuốc có thể làm gì?</v>
          </cell>
          <cell r="G17" t="str">
            <v>12/17/2019 2:53:02 PM</v>
          </cell>
          <cell r="H17" t="str">
            <v>done 3 lession</v>
          </cell>
          <cell r="I17" t="str">
            <v>done</v>
          </cell>
        </row>
        <row r="18">
          <cell r="D18" t="str">
            <v>0907089624</v>
          </cell>
          <cell r="E18" t="str">
            <v>79D4, Khu Vực Thạnh Mỹ, P.Thường Thạnh,Cái Răng,Cần Thơ</v>
          </cell>
          <cell r="F18" t="str">
            <v>Bài 3: Bệnh viêm cấp tính đường hô hấp ở trẻ em - Nhà thuốc có thể làm gì?</v>
          </cell>
          <cell r="G18" t="str">
            <v>12/18/2019 9:03:24 AM</v>
          </cell>
          <cell r="H18" t="str">
            <v>done all</v>
          </cell>
          <cell r="I18" t="str">
            <v>done</v>
          </cell>
        </row>
        <row r="19">
          <cell r="D19" t="str">
            <v>0766855066</v>
          </cell>
          <cell r="E19" t="str">
            <v>178, P.Tân An,Ninh Kiều,Cần Thơ</v>
          </cell>
          <cell r="F19" t="str">
            <v>Bài 3: Bệnh viêm cấp tính đường hô hấp ở trẻ em - Nhà thuốc có thể làm gì?</v>
          </cell>
          <cell r="G19" t="str">
            <v>12/16/2019 4:43:07 PM</v>
          </cell>
          <cell r="H19" t="str">
            <v>done all</v>
          </cell>
          <cell r="I19" t="str">
            <v>done</v>
          </cell>
        </row>
        <row r="20">
          <cell r="D20" t="str">
            <v>0986190286</v>
          </cell>
          <cell r="E20" t="str">
            <v>204 hồng mai, P.Quỳnh Lôi,Hai Bà Trưng,Hà Nội</v>
          </cell>
          <cell r="F20" t="str">
            <v>Bài 3: Bệnh viêm cấp tính đường hô hấp ở trẻ em - Nhà thuốc có thể làm gì?</v>
          </cell>
          <cell r="G20" t="str">
            <v>12/27/2019 1:22:31 PM</v>
          </cell>
          <cell r="H20" t="str">
            <v>done all</v>
          </cell>
          <cell r="I20" t="str">
            <v>done</v>
          </cell>
        </row>
        <row r="21">
          <cell r="D21" t="str">
            <v>0374635903</v>
          </cell>
          <cell r="E21" t="str">
            <v>14 Trần Nhân Tông, P.Nguyễn Du,Hai Bà Trưng,Hà Nội</v>
          </cell>
          <cell r="F21" t="str">
            <v>Bài 3: Bệnh viêm cấp tính đường hô hấp ở trẻ em - Nhà thuốc có thể làm gì?</v>
          </cell>
          <cell r="G21" t="str">
            <v>12/27/2019 3:04:04 PM</v>
          </cell>
          <cell r="H21" t="str">
            <v>done all</v>
          </cell>
          <cell r="I21" t="str">
            <v>done</v>
          </cell>
        </row>
        <row r="22">
          <cell r="D22" t="str">
            <v>0908412436</v>
          </cell>
          <cell r="E22" t="str">
            <v>702 HUONG LO 2, P. BINH TRI DONG A, P.Bình Hưng Hòa,Bình Tân,Hồ Chí Minh</v>
          </cell>
          <cell r="F22" t="str">
            <v>Bài 3: Bệnh viêm cấp tính đường hô hấp ở trẻ em - Nhà thuốc có thể làm gì?</v>
          </cell>
          <cell r="G22" t="str">
            <v>12/16/2019 1:24:58 PM</v>
          </cell>
          <cell r="H22" t="str">
            <v>done all</v>
          </cell>
          <cell r="I22" t="str">
            <v>done</v>
          </cell>
        </row>
        <row r="23">
          <cell r="D23" t="str">
            <v>0387733269</v>
          </cell>
          <cell r="E23" t="str">
            <v>54/15 Hai Bà Trưng Phú Cường, P.Phú Cường,Thủ Dầu Một,Bình Dương</v>
          </cell>
          <cell r="F23" t="str">
            <v>Bài 3: Bệnh viêm cấp tính đường hô hấp ở trẻ em - Nhà thuốc có thể làm gì?</v>
          </cell>
          <cell r="G23" t="str">
            <v>2/3/2020 5:26:01 PM</v>
          </cell>
          <cell r="H23" t="e">
            <v>#N/A</v>
          </cell>
          <cell r="I23" t="str">
            <v>done</v>
          </cell>
        </row>
        <row r="24">
          <cell r="D24" t="str">
            <v>0398019788</v>
          </cell>
          <cell r="E24" t="str">
            <v>Số 72 phố Trần Bình, P.Mai Dịch,Cầu Giấy,Hà Nội</v>
          </cell>
          <cell r="F24" t="str">
            <v>Bài 3: Bệnh viêm cấp tính đường hô hấp ở trẻ em - Nhà thuốc có thể làm gì?</v>
          </cell>
          <cell r="G24" t="str">
            <v>12/24/2019 1:18:36 PM</v>
          </cell>
          <cell r="H24" t="str">
            <v>done all</v>
          </cell>
          <cell r="I24" t="str">
            <v>done</v>
          </cell>
        </row>
        <row r="25">
          <cell r="D25" t="str">
            <v>0938980689</v>
          </cell>
          <cell r="E25" t="str">
            <v>08 lô C Mạc Thiên Tích , P.11,Quận 5,Hồ Chí Minh</v>
          </cell>
          <cell r="F25" t="str">
            <v>Bài 3: Bệnh viêm cấp tính đường hô hấp ở trẻ em - Nhà thuốc có thể làm gì?</v>
          </cell>
          <cell r="G25" t="str">
            <v>12/19/2019 4:58:00 PM</v>
          </cell>
          <cell r="H25" t="str">
            <v>done all</v>
          </cell>
          <cell r="I25" t="str">
            <v>done</v>
          </cell>
        </row>
        <row r="26">
          <cell r="D26" t="str">
            <v>0982600388</v>
          </cell>
          <cell r="E26" t="str">
            <v>81B xuân diệu, P.Quảng An,Tây Hồ,Hà Nội</v>
          </cell>
          <cell r="F26" t="str">
            <v>Bài 3: Bệnh viêm cấp tính đường hô hấp ở trẻ em - Nhà thuốc có thể làm gì?</v>
          </cell>
          <cell r="G26" t="str">
            <v>1/5/2020 8:14:30 AM</v>
          </cell>
          <cell r="H26" t="str">
            <v>done all</v>
          </cell>
          <cell r="I26" t="str">
            <v>done</v>
          </cell>
        </row>
        <row r="27">
          <cell r="D27" t="str">
            <v>0372046246</v>
          </cell>
          <cell r="E27" t="str">
            <v>Số nhà 168 Phùng Hưng- Hà Đông - Hà Nội, P.Phúc La,Hà Đông,Hà Nội</v>
          </cell>
          <cell r="F27" t="str">
            <v>Bài 3: Bệnh viêm cấp tính đường hô hấp ở trẻ em - Nhà thuốc có thể làm gì?</v>
          </cell>
          <cell r="G27" t="str">
            <v>1/8/2020 10:41:17 AM</v>
          </cell>
          <cell r="H27" t="str">
            <v>done all</v>
          </cell>
          <cell r="I27" t="str">
            <v>done</v>
          </cell>
        </row>
        <row r="28">
          <cell r="D28" t="str">
            <v>0917266219</v>
          </cell>
          <cell r="E28" t="str">
            <v>47 Cửu Long, P.15,Quận 10,Hồ Chí Minh</v>
          </cell>
          <cell r="F28" t="str">
            <v>Bài 3: Bệnh viêm cấp tính đường hô hấp ở trẻ em - Nhà thuốc có thể làm gì?</v>
          </cell>
          <cell r="G28" t="str">
            <v>12/25/2019 10:46:01 PM</v>
          </cell>
          <cell r="H28" t="str">
            <v>done all</v>
          </cell>
          <cell r="I28" t="str">
            <v>done</v>
          </cell>
        </row>
        <row r="29">
          <cell r="D29" t="str">
            <v>0965568368</v>
          </cell>
          <cell r="E29" t="str">
            <v>1035 kp 7 phường long bình , P.Long Bình,Biên Hòa,Đồng Nai</v>
          </cell>
          <cell r="F29" t="str">
            <v>Bài 3: Bệnh viêm cấp tính đường hô hấp ở trẻ em - Nhà thuốc có thể làm gì?</v>
          </cell>
          <cell r="G29" t="str">
            <v>12/23/2019 9:35:33 AM</v>
          </cell>
          <cell r="H29" t="str">
            <v>done all</v>
          </cell>
          <cell r="I29" t="str">
            <v>done</v>
          </cell>
        </row>
        <row r="30">
          <cell r="D30" t="str">
            <v>0906234770</v>
          </cell>
          <cell r="E30" t="str">
            <v>158/34 vinh tuy, P.Vĩnh Tuy,Hai Bà Trưng,Hà Nội</v>
          </cell>
          <cell r="F30" t="str">
            <v>Bài 3: Bệnh viêm cấp tính đường hô hấp ở trẻ em - Nhà thuốc có thể làm gì?</v>
          </cell>
          <cell r="G30" t="str">
            <v>12/27/2019 11:42:56 AM</v>
          </cell>
          <cell r="H30" t="str">
            <v>done all</v>
          </cell>
          <cell r="I30" t="str">
            <v>done</v>
          </cell>
        </row>
        <row r="31">
          <cell r="D31" t="str">
            <v>0979635045</v>
          </cell>
          <cell r="E31" t="str">
            <v>số A21 phố dịch vọng hậu, P.Dịch Vọng Hậu,Cầu Giấy,Hà Nội</v>
          </cell>
          <cell r="F31" t="str">
            <v>Bài 3: Bệnh viêm cấp tính đường hô hấp ở trẻ em - Nhà thuốc có thể làm gì?</v>
          </cell>
          <cell r="G31" t="str">
            <v>12/27/2019 9:12:14 PM</v>
          </cell>
          <cell r="H31" t="str">
            <v>done all</v>
          </cell>
          <cell r="I31" t="str">
            <v>done</v>
          </cell>
        </row>
        <row r="32">
          <cell r="D32" t="str">
            <v>0996986777</v>
          </cell>
          <cell r="E32" t="str">
            <v>327/37/11 ymoan, P.Tân Lợi,Buôn Ma Thuột,Đắk Lắk</v>
          </cell>
          <cell r="F32" t="str">
            <v>Bài 3: Bệnh viêm cấp tính đường hô hấp ở trẻ em - Nhà thuốc có thể làm gì?</v>
          </cell>
          <cell r="G32" t="str">
            <v>12/19/2019 1:30:02 PM</v>
          </cell>
          <cell r="H32" t="str">
            <v>done all</v>
          </cell>
          <cell r="I32" t="str">
            <v>done</v>
          </cell>
        </row>
        <row r="33">
          <cell r="D33" t="str">
            <v>0979209388</v>
          </cell>
          <cell r="E33" t="str">
            <v>104 bạch mai, P.Cầu Dền,Hai Bà Trưng,Hà Nội</v>
          </cell>
          <cell r="F33" t="str">
            <v>Bài 3: Bệnh viêm cấp tính đường hô hấp ở trẻ em - Nhà thuốc có thể làm gì?</v>
          </cell>
          <cell r="G33" t="str">
            <v>12/27/2019 2:37:03 PM</v>
          </cell>
          <cell r="H33" t="str">
            <v>done all</v>
          </cell>
          <cell r="I33" t="str">
            <v>done</v>
          </cell>
        </row>
        <row r="34">
          <cell r="D34" t="str">
            <v>0908822952</v>
          </cell>
          <cell r="E34" t="str">
            <v>351 Tân Hoà Dông, P.Bình Trị Đông,Bình Tân,Hồ Chí Minh</v>
          </cell>
          <cell r="F34" t="str">
            <v>Bài 3: Bệnh viêm cấp tính đường hô hấp ở trẻ em - Nhà thuốc có thể làm gì?</v>
          </cell>
          <cell r="G34" t="str">
            <v>12/17/2019 9:33:32 AM</v>
          </cell>
          <cell r="H34" t="str">
            <v>done all</v>
          </cell>
          <cell r="I34" t="str">
            <v>done</v>
          </cell>
        </row>
        <row r="35">
          <cell r="D35" t="str">
            <v>0907406779</v>
          </cell>
          <cell r="E35" t="str">
            <v>73 Tran Binh Trong- P. 1, P.01,Quận 5,Hồ Chí Minh</v>
          </cell>
          <cell r="F35" t="str">
            <v>Bài 3: Bệnh viêm cấp tính đường hô hấp ở trẻ em - Nhà thuốc có thể làm gì?</v>
          </cell>
          <cell r="G35" t="str">
            <v>12/24/2019 11:00:58 AM</v>
          </cell>
          <cell r="H35" t="str">
            <v>done all</v>
          </cell>
          <cell r="I35" t="str">
            <v>done</v>
          </cell>
        </row>
        <row r="36">
          <cell r="D36" t="str">
            <v>0905713139</v>
          </cell>
          <cell r="E36" t="str">
            <v>4 yersin , P.Xương Huân,Nha Trang,Khánh Hòa</v>
          </cell>
          <cell r="F36" t="str">
            <v>Bài 3: Bệnh viêm cấp tính đường hô hấp ở trẻ em - Nhà thuốc có thể làm gì?</v>
          </cell>
          <cell r="G36" t="str">
            <v>12/23/2019 12:37:45 PM</v>
          </cell>
          <cell r="H36" t="str">
            <v>done all</v>
          </cell>
          <cell r="I36" t="str">
            <v>done</v>
          </cell>
        </row>
        <row r="37">
          <cell r="D37" t="str">
            <v>0909473674</v>
          </cell>
          <cell r="E37" t="str">
            <v>G4A, P.15,Quận 10,Hồ Chí Minh</v>
          </cell>
          <cell r="F37" t="str">
            <v>Bài 3: Bệnh viêm cấp tính đường hô hấp ở trẻ em - Nhà thuốc có thể làm gì?</v>
          </cell>
          <cell r="G37" t="str">
            <v>12/21/2019 7:29:31 PM</v>
          </cell>
          <cell r="H37" t="str">
            <v>done 3 lession</v>
          </cell>
          <cell r="I37" t="str">
            <v>done</v>
          </cell>
        </row>
        <row r="38">
          <cell r="D38" t="str">
            <v>0903452774</v>
          </cell>
          <cell r="E38" t="str">
            <v>43A PHAN XÍCH LONG, PHƯỜNG 2, QUẬN PHÚ NHUẬN, TP.HCM, P.02,Phú Nhuận,Hồ Chí Minh</v>
          </cell>
          <cell r="F38" t="str">
            <v>Bài 3: Bệnh viêm cấp tính đường hô hấp ở trẻ em - Nhà thuốc có thể làm gì?</v>
          </cell>
          <cell r="G38" t="str">
            <v>1/10/2020 10:48:34 PM</v>
          </cell>
          <cell r="H38" t="str">
            <v>done all</v>
          </cell>
          <cell r="I38" t="str">
            <v>done</v>
          </cell>
        </row>
        <row r="39">
          <cell r="D39" t="str">
            <v>0838313886</v>
          </cell>
          <cell r="E39" t="str">
            <v>54, P.Đống Mác,Hai Bà Trưng,Hà Nội</v>
          </cell>
          <cell r="F39" t="str">
            <v>Bài 3: Bệnh viêm cấp tính đường hô hấp ở trẻ em - Nhà thuốc có thể làm gì?</v>
          </cell>
          <cell r="G39" t="str">
            <v>12/27/2019 2:20:15 PM</v>
          </cell>
          <cell r="H39" t="str">
            <v>done all</v>
          </cell>
          <cell r="I39" t="str">
            <v>done</v>
          </cell>
        </row>
        <row r="40">
          <cell r="D40" t="str">
            <v>0379361655</v>
          </cell>
          <cell r="E40" t="str">
            <v>59 Trần Đại Nghĩa, P.Bách Khoa,Hai Bà Trưng,Hà Nội</v>
          </cell>
          <cell r="F40" t="str">
            <v>Bài 3: Bệnh viêm cấp tính đường hô hấp ở trẻ em - Nhà thuốc có thể làm gì?</v>
          </cell>
          <cell r="G40" t="str">
            <v>12/23/2019 12:47:15 PM</v>
          </cell>
          <cell r="H40" t="str">
            <v>done all</v>
          </cell>
          <cell r="I40" t="str">
            <v>done</v>
          </cell>
        </row>
        <row r="41">
          <cell r="D41" t="str">
            <v>0973732068</v>
          </cell>
          <cell r="E41" t="str">
            <v>493 Nguyễn Văn Công, P.03,Gò Vấp,Hồ Chí Minh</v>
          </cell>
          <cell r="F41" t="str">
            <v>Bài 3: Bệnh viêm cấp tính đường hô hấp ở trẻ em - Nhà thuốc có thể làm gì?</v>
          </cell>
          <cell r="G41" t="str">
            <v>12/16/2019 11:50:57 AM</v>
          </cell>
          <cell r="H41" t="str">
            <v>done all</v>
          </cell>
          <cell r="I41" t="str">
            <v>done</v>
          </cell>
        </row>
        <row r="42">
          <cell r="D42" t="str">
            <v>0971399267</v>
          </cell>
          <cell r="E42" t="str">
            <v>66 to 22 mai dịch, P.Mai Dịch,Cầu Giấy,Hà Nội</v>
          </cell>
          <cell r="F42" t="str">
            <v>Bài 3: Bệnh viêm cấp tính đường hô hấp ở trẻ em - Nhà thuốc có thể làm gì?</v>
          </cell>
          <cell r="G42" t="str">
            <v>1/8/2020 1:03:46 PM</v>
          </cell>
          <cell r="H42" t="str">
            <v>done all</v>
          </cell>
          <cell r="I42" t="str">
            <v>done</v>
          </cell>
        </row>
        <row r="43">
          <cell r="D43" t="str">
            <v>0932344890</v>
          </cell>
          <cell r="E43" t="str">
            <v>203/1 lac long quân , P.03,Quận 11,Hồ Chí Minh</v>
          </cell>
          <cell r="F43" t="str">
            <v>Bài 3: Bệnh viêm cấp tính đường hô hấp ở trẻ em - Nhà thuốc có thể làm gì?</v>
          </cell>
          <cell r="G43" t="str">
            <v>12/19/2019 1:51:00 PM</v>
          </cell>
          <cell r="H43" t="str">
            <v>done all</v>
          </cell>
          <cell r="I43" t="str">
            <v>done</v>
          </cell>
        </row>
        <row r="44">
          <cell r="D44" t="str">
            <v>0856930090</v>
          </cell>
          <cell r="E44" t="str">
            <v>380P/14B Nguyễn Văn Cừ, P.Xuân Khánh,Ninh Kiều,Cần Thơ</v>
          </cell>
          <cell r="F44" t="str">
            <v>Bài 3: Bệnh viêm cấp tính đường hô hấp ở trẻ em - Nhà thuốc có thể làm gì?</v>
          </cell>
          <cell r="G44" t="str">
            <v>12/22/2019 6:00:49 PM</v>
          </cell>
          <cell r="H44" t="str">
            <v>done all</v>
          </cell>
          <cell r="I44" t="str">
            <v>done</v>
          </cell>
        </row>
        <row r="45">
          <cell r="D45" t="str">
            <v>0962541648</v>
          </cell>
          <cell r="E45" t="str">
            <v>169 Mai Hac De, P.Lê Đại Hành,Hai Bà Trưng,Hà Nội</v>
          </cell>
          <cell r="F45" t="str">
            <v>Bài 3: Bệnh viêm cấp tính đường hô hấp ở trẻ em - Nhà thuốc có thể làm gì?</v>
          </cell>
          <cell r="G45" t="str">
            <v>12/27/2019 12:14:44 PM</v>
          </cell>
          <cell r="H45" t="str">
            <v>done all</v>
          </cell>
          <cell r="I45" t="str">
            <v>done</v>
          </cell>
        </row>
        <row r="46">
          <cell r="D46" t="str">
            <v>0979379730</v>
          </cell>
          <cell r="E46" t="str">
            <v>28 Đội Cấn, P.Đội Cấn,Ba Đình,Hà Nội</v>
          </cell>
          <cell r="F46" t="str">
            <v>Bài 3: Bệnh viêm cấp tính đường hô hấp ở trẻ em - Nhà thuốc có thể làm gì?</v>
          </cell>
          <cell r="G46" t="str">
            <v>12/28/2019 2:26:41 PM</v>
          </cell>
          <cell r="H46" t="str">
            <v>done all</v>
          </cell>
          <cell r="I46" t="str">
            <v>done</v>
          </cell>
        </row>
        <row r="47">
          <cell r="D47" t="str">
            <v>0912174547</v>
          </cell>
          <cell r="E47" t="str">
            <v>1/1, ấp An Hòa, P.Hóa An,Biên Hòa,Đồng Nai</v>
          </cell>
          <cell r="F47" t="str">
            <v>Bài 3: Bệnh viêm cấp tính đường hô hấp ở trẻ em - Nhà thuốc có thể làm gì?</v>
          </cell>
          <cell r="G47" t="str">
            <v>12/21/2019 5:49:32 PM</v>
          </cell>
          <cell r="H47" t="str">
            <v>done all</v>
          </cell>
          <cell r="I47" t="str">
            <v>done</v>
          </cell>
        </row>
        <row r="48">
          <cell r="D48" t="str">
            <v>0383720189</v>
          </cell>
          <cell r="E48" t="str">
            <v>Số 4, ngõ 58, phố trần bình, P.Mai Dịch,Cầu Giấy,Hà Nội</v>
          </cell>
          <cell r="F48" t="str">
            <v>Bài 3: Bệnh viêm cấp tính đường hô hấp ở trẻ em - Nhà thuốc có thể làm gì?</v>
          </cell>
          <cell r="G48" t="str">
            <v>12/27/2019 12:53:15 PM</v>
          </cell>
          <cell r="H48" t="str">
            <v>done 3 lession</v>
          </cell>
          <cell r="I48" t="str">
            <v>done</v>
          </cell>
        </row>
        <row r="49">
          <cell r="D49" t="str">
            <v>0342826369</v>
          </cell>
          <cell r="E49" t="str">
            <v>176A Thống Nhất, P.Phương Sài,Nha Trang,Khánh Hòa</v>
          </cell>
          <cell r="F49" t="str">
            <v>Bài 3: Bệnh viêm cấp tính đường hô hấp ở trẻ em - Nhà thuốc có thể làm gì?</v>
          </cell>
          <cell r="G49" t="str">
            <v>12/19/2019 8:04:53 AM</v>
          </cell>
          <cell r="H49" t="str">
            <v>done all</v>
          </cell>
          <cell r="I49" t="str">
            <v>done</v>
          </cell>
        </row>
        <row r="50">
          <cell r="D50" t="str">
            <v>033650324</v>
          </cell>
          <cell r="E50" t="str">
            <v>45/295 bạch mai, P.Bạch Mai,Hai Bà Trưng,Hà Nội</v>
          </cell>
          <cell r="F50" t="str">
            <v>Bài 3: Bệnh viêm cấp tính đường hô hấp ở trẻ em - Nhà thuốc có thể làm gì?</v>
          </cell>
          <cell r="G50" t="str">
            <v>12/27/2019 11:07:05 AM</v>
          </cell>
          <cell r="H50" t="str">
            <v>done all</v>
          </cell>
          <cell r="I50" t="str">
            <v>done</v>
          </cell>
        </row>
        <row r="51">
          <cell r="D51" t="str">
            <v>0358526172</v>
          </cell>
          <cell r="E51" t="str">
            <v>106H4, P.Thành Công,Ba Đình,Hà Nội</v>
          </cell>
          <cell r="F51" t="str">
            <v>Bài 3: Bệnh viêm cấp tính đường hô hấp ở trẻ em - Nhà thuốc có thể làm gì?</v>
          </cell>
          <cell r="G51" t="str">
            <v>12/25/2019 12:36:39 PM</v>
          </cell>
          <cell r="H51" t="str">
            <v>done all</v>
          </cell>
          <cell r="I51" t="str">
            <v>done</v>
          </cell>
        </row>
        <row r="52">
          <cell r="D52" t="str">
            <v>0946344242</v>
          </cell>
          <cell r="E52" t="str">
            <v>2B KV Thạnh Mỹ, P.Thường Thạnh,Cái Răng,Cần Thơ</v>
          </cell>
          <cell r="F52" t="str">
            <v>Bài 3: Bệnh viêm cấp tính đường hô hấp ở trẻ em - Nhà thuốc có thể làm gì?</v>
          </cell>
          <cell r="G52" t="str">
            <v>12/17/2019 1:23:18 PM</v>
          </cell>
          <cell r="H52" t="str">
            <v>done all</v>
          </cell>
          <cell r="I52" t="str">
            <v>done</v>
          </cell>
        </row>
        <row r="53">
          <cell r="D53" t="str">
            <v>0975384392</v>
          </cell>
          <cell r="E53" t="str">
            <v>15b1 , P.Thành Công,Ba Đình,Hà Nội</v>
          </cell>
          <cell r="F53" t="str">
            <v>Bài 3: Bệnh viêm cấp tính đường hô hấp ở trẻ em - Nhà thuốc có thể làm gì?</v>
          </cell>
          <cell r="G53" t="str">
            <v>12/28/2019 2:57:16 PM</v>
          </cell>
          <cell r="H53" t="str">
            <v>done all</v>
          </cell>
          <cell r="I53" t="str">
            <v>done</v>
          </cell>
        </row>
        <row r="54">
          <cell r="D54" t="str">
            <v>0834377770</v>
          </cell>
          <cell r="E54" t="str">
            <v>25 lý tự trọng , P.Tân An,Buôn Ma Thuột,Đắk Lắk</v>
          </cell>
          <cell r="F54" t="str">
            <v>Bài 3: Bệnh viêm cấp tính đường hô hấp ở trẻ em - Nhà thuốc có thể làm gì?</v>
          </cell>
          <cell r="G54" t="str">
            <v>1/2/2020 5:30:31 PM</v>
          </cell>
          <cell r="H54" t="str">
            <v>done all</v>
          </cell>
          <cell r="I54" t="str">
            <v>done</v>
          </cell>
        </row>
        <row r="55">
          <cell r="D55" t="str">
            <v>0914611488</v>
          </cell>
          <cell r="E55" t="str">
            <v>05 Binh Long, P.Binh Hưng Hoà A,Bình Tân,Hồ Chí Minh</v>
          </cell>
          <cell r="F55" t="str">
            <v>Bài 3: Bệnh viêm cấp tính đường hô hấp ở trẻ em - Nhà thuốc có thể làm gì?</v>
          </cell>
          <cell r="G55" t="str">
            <v>2/3/2020 8:37:08 PM</v>
          </cell>
          <cell r="H55" t="e">
            <v>#N/A</v>
          </cell>
          <cell r="I55" t="str">
            <v>done</v>
          </cell>
        </row>
        <row r="56">
          <cell r="D56" t="str">
            <v>0368921989</v>
          </cell>
          <cell r="E56" t="str">
            <v>52 nguyễn trãi, P.Nhân Chính,Thanh Xuân,Hà Nội</v>
          </cell>
          <cell r="F56" t="str">
            <v>Bài 3: Bệnh viêm cấp tính đường hô hấp ở trẻ em - Nhà thuốc có thể làm gì?</v>
          </cell>
          <cell r="G56" t="str">
            <v>12/27/2019 8:54:42 PM</v>
          </cell>
          <cell r="H56" t="str">
            <v>done 2 lession</v>
          </cell>
          <cell r="I56" t="str">
            <v>done</v>
          </cell>
        </row>
        <row r="57">
          <cell r="D57" t="str">
            <v>0988192916</v>
          </cell>
          <cell r="E57" t="str">
            <v>233 đường thanh nhàn , P.Thanh Nhàn,Hai Bà Trưng,Hà Nội</v>
          </cell>
          <cell r="F57" t="str">
            <v>Bài 3: Bệnh viêm cấp tính đường hô hấp ở trẻ em - Nhà thuốc có thể làm gì?</v>
          </cell>
          <cell r="G57" t="str">
            <v>12/27/2019 10:10:30 AM</v>
          </cell>
          <cell r="H57" t="str">
            <v>done all</v>
          </cell>
          <cell r="I57" t="str">
            <v>done</v>
          </cell>
        </row>
        <row r="58">
          <cell r="D58" t="str">
            <v>0375231202</v>
          </cell>
          <cell r="E58" t="str">
            <v>79 trương Định, P.Trương Định,Hai Bà Trưng,Hà Nội</v>
          </cell>
          <cell r="F58" t="str">
            <v>Bài 3: Bệnh viêm cấp tính đường hô hấp ở trẻ em - Nhà thuốc có thể làm gì?</v>
          </cell>
          <cell r="G58" t="str">
            <v>12/19/2019 1:29:15 PM</v>
          </cell>
          <cell r="H58" t="str">
            <v>done all</v>
          </cell>
          <cell r="I58" t="str">
            <v>done</v>
          </cell>
        </row>
        <row r="59">
          <cell r="D59" t="str">
            <v>0982601483</v>
          </cell>
          <cell r="E59" t="str">
            <v>8/10b, đường Huỳnh Văn Nghệ, P.Bửu Long,Biên Hòa,Đồng Nai</v>
          </cell>
          <cell r="F59" t="str">
            <v>Bài 3: Bệnh viêm cấp tính đường hô hấp ở trẻ em - Nhà thuốc có thể làm gì?</v>
          </cell>
          <cell r="G59" t="str">
            <v>12/19/2019 3:40:50 PM</v>
          </cell>
          <cell r="H59" t="str">
            <v>done all</v>
          </cell>
          <cell r="I59" t="str">
            <v>done</v>
          </cell>
        </row>
        <row r="60">
          <cell r="D60" t="str">
            <v>0934031747</v>
          </cell>
          <cell r="E60" t="str">
            <v>Huỳnh văn nghệ, P.Bửu Long,Biên Hòa,Đồng Nai</v>
          </cell>
          <cell r="F60" t="str">
            <v>Bài 3: Bệnh viêm cấp tính đường hô hấp ở trẻ em - Nhà thuốc có thể làm gì?</v>
          </cell>
          <cell r="G60" t="str">
            <v>12/17/2019 7:56:17 AM</v>
          </cell>
          <cell r="H60" t="str">
            <v>done all</v>
          </cell>
          <cell r="I60" t="str">
            <v>done</v>
          </cell>
        </row>
        <row r="61">
          <cell r="D61" t="str">
            <v>0982028315</v>
          </cell>
          <cell r="E61" t="str">
            <v>5 nguyễn quý đức, P.Thanh Xuân Bắc,Thanh Xuân,Hà Nội</v>
          </cell>
          <cell r="F61" t="str">
            <v>Bài 3: Bệnh viêm cấp tính đường hô hấp ở trẻ em - Nhà thuốc có thể làm gì?</v>
          </cell>
          <cell r="G61" t="str">
            <v>12/26/2019 6:36:57 PM</v>
          </cell>
          <cell r="H61" t="str">
            <v>done all</v>
          </cell>
          <cell r="I61" t="str">
            <v>done</v>
          </cell>
        </row>
        <row r="62">
          <cell r="D62" t="str">
            <v>0987074092</v>
          </cell>
          <cell r="E62" t="str">
            <v>266 Lê Thanh Nghị, P.Đồng Tâm,Hai Bà Trưng,Hà Nội</v>
          </cell>
          <cell r="F62" t="str">
            <v>Bài 3: Bệnh viêm cấp tính đường hô hấp ở trẻ em - Nhà thuốc có thể làm gì?</v>
          </cell>
          <cell r="G62" t="str">
            <v>12/23/2019 2:00:03 PM</v>
          </cell>
          <cell r="H62" t="str">
            <v>done all</v>
          </cell>
          <cell r="I62" t="str">
            <v>done</v>
          </cell>
        </row>
        <row r="63">
          <cell r="D63" t="str">
            <v>0907469232</v>
          </cell>
          <cell r="E63" t="str">
            <v>Cạnh 335B|1,KV 4,, P.An Khánh,Ninh Kiều,Cần Thơ</v>
          </cell>
          <cell r="F63" t="str">
            <v>Bài 3: Bệnh viêm cấp tính đường hô hấp ở trẻ em - Nhà thuốc có thể làm gì?</v>
          </cell>
          <cell r="G63" t="str">
            <v>12/18/2019 3:59:04 PM</v>
          </cell>
          <cell r="H63" t="str">
            <v>done all</v>
          </cell>
          <cell r="I63" t="str">
            <v>done</v>
          </cell>
        </row>
        <row r="64">
          <cell r="D64" t="str">
            <v>0939650407</v>
          </cell>
          <cell r="E64" t="str">
            <v>632 đường 30/4, P.Hưng Lợi,Ninh Kiều,Cần Thơ</v>
          </cell>
          <cell r="F64" t="str">
            <v>Bài 3: Bệnh viêm cấp tính đường hô hấp ở trẻ em - Nhà thuốc có thể làm gì?</v>
          </cell>
          <cell r="G64" t="str">
            <v>12/18/2019 1:09:36 PM</v>
          </cell>
          <cell r="H64" t="str">
            <v>done all</v>
          </cell>
          <cell r="I64" t="str">
            <v>done</v>
          </cell>
        </row>
        <row r="65">
          <cell r="D65" t="str">
            <v>0946062900</v>
          </cell>
          <cell r="E65" t="str">
            <v>To 32 khu cau xeo, P.Long Thành,Long Thành,Đồng Nai</v>
          </cell>
          <cell r="F65" t="str">
            <v>Bài 3: Bệnh viêm cấp tính đường hô hấp ở trẻ em - Nhà thuốc có thể làm gì?</v>
          </cell>
          <cell r="G65" t="str">
            <v>12/27/2019 1:53:29 PM</v>
          </cell>
          <cell r="H65" t="str">
            <v>done all</v>
          </cell>
          <cell r="I65" t="str">
            <v>done</v>
          </cell>
        </row>
        <row r="66">
          <cell r="D66" t="str">
            <v>0906930651</v>
          </cell>
          <cell r="E66" t="str">
            <v>134 Cách Mạng Tháng Tám, P.Bình Thủy,Bình Thuỷ,Cần Thơ</v>
          </cell>
          <cell r="F66" t="str">
            <v>Bài 3: Bệnh viêm cấp tính đường hô hấp ở trẻ em - Nhà thuốc có thể làm gì?</v>
          </cell>
          <cell r="G66" t="str">
            <v>12/25/2019 4:40:47 PM</v>
          </cell>
          <cell r="H66" t="str">
            <v>done all</v>
          </cell>
          <cell r="I66" t="str">
            <v>done</v>
          </cell>
        </row>
        <row r="67">
          <cell r="D67" t="str">
            <v>0945597862</v>
          </cell>
          <cell r="E67" t="str">
            <v>213 Nguyễn Văn Cừ, P.An Bình,Ninh Kiều,Cần Thơ</v>
          </cell>
          <cell r="F67" t="str">
            <v>Bài 3: Bệnh viêm cấp tính đường hô hấp ở trẻ em - Nhà thuốc có thể làm gì?</v>
          </cell>
          <cell r="G67" t="str">
            <v>12/18/2019 9:16:10 PM</v>
          </cell>
          <cell r="H67" t="str">
            <v>done all</v>
          </cell>
          <cell r="I67" t="str">
            <v>done</v>
          </cell>
        </row>
        <row r="68">
          <cell r="D68" t="str">
            <v>0377446330</v>
          </cell>
          <cell r="E68" t="str">
            <v>65 Mã Mây, P.Hàng Buồm,Hoàn Kiếm,Hà Nội</v>
          </cell>
          <cell r="F68" t="str">
            <v>Bài 3: Bệnh viêm cấp tính đường hô hấp ở trẻ em - Nhà thuốc có thể làm gì?</v>
          </cell>
          <cell r="G68" t="str">
            <v>12/27/2019 8:39:29 PM</v>
          </cell>
          <cell r="H68" t="str">
            <v>done all</v>
          </cell>
          <cell r="I68" t="str">
            <v>done</v>
          </cell>
        </row>
        <row r="69">
          <cell r="D69" t="str">
            <v>0961729669</v>
          </cell>
          <cell r="E69" t="str">
            <v>Số 6 Trương Định, P.Trương Định,Hai Bà Trưng,Hà Nội</v>
          </cell>
          <cell r="F69" t="str">
            <v>Bài 3: Bệnh viêm cấp tính đường hô hấp ở trẻ em - Nhà thuốc có thể làm gì?</v>
          </cell>
          <cell r="G69" t="str">
            <v>12/18/2019 1:14:45 PM</v>
          </cell>
          <cell r="H69" t="str">
            <v>done all</v>
          </cell>
          <cell r="I69" t="str">
            <v>done</v>
          </cell>
        </row>
        <row r="70">
          <cell r="D70" t="str">
            <v>0354399713</v>
          </cell>
          <cell r="E70" t="str">
            <v>số 28,phố trung hòa,tổ 18,phường trung hòa, P.Trung Hoà,Cầu Giấy,Hà Nội</v>
          </cell>
          <cell r="F70" t="str">
            <v>Bài 3: Bệnh viêm cấp tính đường hô hấp ở trẻ em - Nhà thuốc có thể làm gì?</v>
          </cell>
          <cell r="G70" t="str">
            <v>12/27/2019 9:21:54 PM</v>
          </cell>
          <cell r="H70" t="str">
            <v>done all</v>
          </cell>
          <cell r="I70" t="str">
            <v>done</v>
          </cell>
        </row>
        <row r="71">
          <cell r="D71" t="str">
            <v>0395934439</v>
          </cell>
          <cell r="E71" t="str">
            <v>484 Nguyễn Thái Sơn, P.05,Gò Vấp,Hồ Chí Minh</v>
          </cell>
          <cell r="F71" t="str">
            <v>Bài 3: Bệnh viêm cấp tính đường hô hấp ở trẻ em - Nhà thuốc có thể làm gì?</v>
          </cell>
          <cell r="G71" t="str">
            <v>12/25/2019 7:01:03 PM</v>
          </cell>
          <cell r="H71" t="str">
            <v>done 3 lession</v>
          </cell>
          <cell r="I71" t="str">
            <v>done</v>
          </cell>
        </row>
        <row r="72">
          <cell r="D72" t="str">
            <v>0905081777</v>
          </cell>
          <cell r="E72" t="str">
            <v>CAY SO 5, VINH THANH, NHA TRANG, P.Vĩnh Thạnh,Nha Trang,Khánh Hòa</v>
          </cell>
          <cell r="F72" t="str">
            <v>Bài 3: Bệnh viêm cấp tính đường hô hấp ở trẻ em - Nhà thuốc có thể làm gì?</v>
          </cell>
          <cell r="G72" t="str">
            <v>12/22/2019 5:14:04 PM</v>
          </cell>
          <cell r="H72" t="str">
            <v>done all</v>
          </cell>
          <cell r="I72" t="str">
            <v>done</v>
          </cell>
        </row>
        <row r="73">
          <cell r="D73" t="str">
            <v>0379175142</v>
          </cell>
          <cell r="E73" t="str">
            <v>299 phan xich long p1 Q PN, P.01,Phú Nhuận,Hồ Chí Minh</v>
          </cell>
          <cell r="F73" t="str">
            <v>Bài 3: Bệnh viêm cấp tính đường hô hấp ở trẻ em - Nhà thuốc có thể làm gì?</v>
          </cell>
          <cell r="G73" t="str">
            <v>1/7/2020 4:45:57 PM</v>
          </cell>
          <cell r="H73" t="str">
            <v>done all</v>
          </cell>
          <cell r="I73" t="str">
            <v>done</v>
          </cell>
        </row>
        <row r="74">
          <cell r="D74" t="str">
            <v>0335720009</v>
          </cell>
          <cell r="E74" t="str">
            <v>626 Minh Khai, P.Vĩnh Tuy,Hai Bà Trưng,Hà Nội</v>
          </cell>
          <cell r="F74" t="str">
            <v>Bài 3: Bệnh viêm cấp tính đường hô hấp ở trẻ em - Nhà thuốc có thể làm gì?</v>
          </cell>
          <cell r="G74" t="str">
            <v>12/26/2019 3:28:31 PM</v>
          </cell>
          <cell r="H74" t="str">
            <v>done all</v>
          </cell>
          <cell r="I74" t="str">
            <v>done</v>
          </cell>
        </row>
        <row r="75">
          <cell r="D75" t="str">
            <v>0941600819</v>
          </cell>
          <cell r="E75" t="str">
            <v>152-154 đường B21, Khu dân cư 91B, An Khánh, Ninh Kiều, thành phố Cần Thơ, P.An Khánh,Ninh Kiều,Cần Thơ</v>
          </cell>
          <cell r="F75" t="str">
            <v>Bài 3: Bệnh viêm cấp tính đường hô hấp ở trẻ em - Nhà thuốc có thể làm gì?</v>
          </cell>
          <cell r="G75" t="str">
            <v>12/19/2019 10:07:30 PM</v>
          </cell>
          <cell r="H75" t="str">
            <v>done all</v>
          </cell>
          <cell r="I75" t="str">
            <v>done</v>
          </cell>
        </row>
        <row r="76">
          <cell r="D76" t="str">
            <v>0903105155</v>
          </cell>
          <cell r="E76" t="str">
            <v>19 HO BA KIEN, PHUONG 15, P.15,Quận 10,Hồ Chí Minh</v>
          </cell>
          <cell r="F76" t="str">
            <v>Bài 3: Bệnh viêm cấp tính đường hô hấp ở trẻ em - Nhà thuốc có thể làm gì?</v>
          </cell>
          <cell r="G76" t="str">
            <v>12/25/2019 6:32:36 PM</v>
          </cell>
          <cell r="H76" t="str">
            <v>done all</v>
          </cell>
          <cell r="I76" t="str">
            <v>done</v>
          </cell>
        </row>
        <row r="77">
          <cell r="D77" t="str">
            <v>0902029096</v>
          </cell>
          <cell r="E77" t="str">
            <v>317A TO 10- NGUYEN VAN LINH- P. AN KHANH, P.An Khánh,Ninh Kiều,Cần Thơ</v>
          </cell>
          <cell r="F77" t="str">
            <v>Bài 3: Bệnh viêm cấp tính đường hô hấp ở trẻ em - Nhà thuốc có thể làm gì?</v>
          </cell>
          <cell r="G77" t="str">
            <v>12/21/2019 10:09:07 AM</v>
          </cell>
          <cell r="H77" t="str">
            <v>done all</v>
          </cell>
          <cell r="I77" t="str">
            <v>done</v>
          </cell>
        </row>
        <row r="78">
          <cell r="D78" t="str">
            <v>0906726308</v>
          </cell>
          <cell r="E78" t="str">
            <v>98/12c vo thi sau , P.Quyết Thắng,Biên Hòa,Đồng Nai</v>
          </cell>
          <cell r="F78" t="str">
            <v>Bài 3: Bệnh viêm cấp tính đường hô hấp ở trẻ em - Nhà thuốc có thể làm gì?</v>
          </cell>
          <cell r="G78" t="str">
            <v>12/24/2019 10:42:20 AM</v>
          </cell>
          <cell r="H78" t="str">
            <v>done all</v>
          </cell>
          <cell r="I78" t="str">
            <v>done</v>
          </cell>
        </row>
        <row r="79">
          <cell r="D79" t="str">
            <v>0945707337</v>
          </cell>
          <cell r="E79" t="str">
            <v>27 Nguyễn Hiền, P.An Khánh,Ninh Kiều,Cần Thơ</v>
          </cell>
          <cell r="F79" t="str">
            <v>Bài 3: Bệnh viêm cấp tính đường hô hấp ở trẻ em - Nhà thuốc có thể làm gì?</v>
          </cell>
          <cell r="G79" t="str">
            <v>12/29/2019 5:49:48 PM</v>
          </cell>
          <cell r="H79" t="str">
            <v>done all</v>
          </cell>
          <cell r="I79" t="str">
            <v>done</v>
          </cell>
        </row>
        <row r="80">
          <cell r="D80" t="str">
            <v>0907281808</v>
          </cell>
          <cell r="E80" t="str">
            <v>50, P.Bến Nghé,Quận 1,Hồ Chí Minh</v>
          </cell>
          <cell r="F80" t="str">
            <v>Bài 3: Bệnh viêm cấp tính đường hô hấp ở trẻ em - Nhà thuốc có thể làm gì?</v>
          </cell>
          <cell r="G80" t="str">
            <v>12/21/2019 6:43:52 PM</v>
          </cell>
          <cell r="H80" t="str">
            <v>done all</v>
          </cell>
          <cell r="I80" t="str">
            <v>done</v>
          </cell>
        </row>
        <row r="81">
          <cell r="D81" t="str">
            <v>0397266640</v>
          </cell>
          <cell r="E81" t="str">
            <v>105/168 , P.Ngọc Khánh,Ba Đình,Hà Nội</v>
          </cell>
          <cell r="F81" t="str">
            <v>Bài 3: Bệnh viêm cấp tính đường hô hấp ở trẻ em - Nhà thuốc có thể làm gì?</v>
          </cell>
          <cell r="G81" t="str">
            <v>12/27/2019 12:40:36 PM</v>
          </cell>
          <cell r="H81" t="str">
            <v>done 3 lession</v>
          </cell>
          <cell r="I81" t="str">
            <v>done</v>
          </cell>
        </row>
        <row r="82">
          <cell r="D82" t="str">
            <v>0965983541</v>
          </cell>
          <cell r="E82" t="str">
            <v>15b1, P.Thành Công,Ba Đình,Hà Nội</v>
          </cell>
          <cell r="F82" t="str">
            <v>Bài 3: Bệnh viêm cấp tính đường hô hấp ở trẻ em - Nhà thuốc có thể làm gì?</v>
          </cell>
          <cell r="G82" t="str">
            <v>12/28/2019 3:14:17 PM</v>
          </cell>
          <cell r="H82" t="str">
            <v>done all</v>
          </cell>
          <cell r="I82" t="str">
            <v>done</v>
          </cell>
        </row>
        <row r="83">
          <cell r="D83" t="str">
            <v>0943035757</v>
          </cell>
          <cell r="E83" t="str">
            <v>208 ymoan, P.Tân Lợi,Buôn Ma Thuột,Đắk Lắk</v>
          </cell>
          <cell r="F83" t="str">
            <v>Bài 3: Bệnh viêm cấp tính đường hô hấp ở trẻ em - Nhà thuốc có thể làm gì?</v>
          </cell>
          <cell r="G83" t="str">
            <v>1/2/2020 2:46:40 PM</v>
          </cell>
          <cell r="H83" t="str">
            <v>done all</v>
          </cell>
          <cell r="I83" t="str">
            <v>done</v>
          </cell>
        </row>
        <row r="84">
          <cell r="D84" t="str">
            <v>02623812452</v>
          </cell>
          <cell r="E84" t="str">
            <v>01 lý thường kiệt, P.Tân Tiến,Buôn Ma Thuột,Đắk Lắk</v>
          </cell>
          <cell r="F84" t="str">
            <v>Bài 3: Bệnh viêm cấp tính đường hô hấp ở trẻ em - Nhà thuốc có thể làm gì?</v>
          </cell>
          <cell r="G84" t="str">
            <v>1/3/2020 3:49:21 PM</v>
          </cell>
          <cell r="H84" t="str">
            <v>done all</v>
          </cell>
          <cell r="I84" t="str">
            <v>done</v>
          </cell>
        </row>
        <row r="85">
          <cell r="D85" t="str">
            <v>0915559667</v>
          </cell>
          <cell r="E85" t="str">
            <v>110,Tổ 9,kp 8, P.Vĩnh An,Vĩnh Cửu,Đồng Nai</v>
          </cell>
          <cell r="F85" t="str">
            <v>Bài 3: Bệnh viêm cấp tính đường hô hấp ở trẻ em - Nhà thuốc có thể làm gì?</v>
          </cell>
          <cell r="G85" t="str">
            <v>12/22/2019 5:40:40 PM</v>
          </cell>
          <cell r="H85" t="str">
            <v>done 3 lession</v>
          </cell>
          <cell r="I85" t="str">
            <v>done</v>
          </cell>
        </row>
        <row r="86">
          <cell r="D86" t="str">
            <v>0399667376</v>
          </cell>
          <cell r="E86" t="str">
            <v>51, P.02,Quận 11,Hồ Chí Minh</v>
          </cell>
          <cell r="F86" t="str">
            <v>Bài 3: Bệnh viêm cấp tính đường hô hấp ở trẻ em - Nhà thuốc có thể làm gì?</v>
          </cell>
          <cell r="G86" t="str">
            <v>12/16/2019 12:07:54 PM</v>
          </cell>
          <cell r="H86" t="str">
            <v>done 2 lession</v>
          </cell>
          <cell r="I86" t="str">
            <v>done</v>
          </cell>
        </row>
        <row r="87">
          <cell r="D87" t="str">
            <v>0912075607</v>
          </cell>
          <cell r="E87" t="str">
            <v>76 Bát Sứ, P.Hàng Bồ,Hoàn Kiếm,Hà Nội</v>
          </cell>
          <cell r="F87" t="str">
            <v>Bài 3: Bệnh viêm cấp tính đường hô hấp ở trẻ em - Nhà thuốc có thể làm gì?</v>
          </cell>
          <cell r="G87" t="str">
            <v>12/24/2019 6:28:20 PM</v>
          </cell>
          <cell r="H87" t="str">
            <v>done all</v>
          </cell>
          <cell r="I87" t="str">
            <v>done</v>
          </cell>
        </row>
        <row r="88">
          <cell r="D88" t="str">
            <v>0985733759</v>
          </cell>
          <cell r="E88" t="str">
            <v>169 Hồng mai, P.Quỳnh Lôi,Hai Bà Trưng,Hà Nội</v>
          </cell>
          <cell r="F88" t="str">
            <v>Bài 3: Bệnh viêm cấp tính đường hô hấp ở trẻ em - Nhà thuốc có thể làm gì?</v>
          </cell>
          <cell r="G88" t="str">
            <v>12/19/2019 10:49:10 AM</v>
          </cell>
          <cell r="H88" t="str">
            <v>done all</v>
          </cell>
          <cell r="I88" t="str">
            <v>done</v>
          </cell>
        </row>
        <row r="89">
          <cell r="D89" t="str">
            <v>0939434998</v>
          </cell>
          <cell r="E89" t="str">
            <v>24/14 Trần Việt Châu, P.An Hòa,Ninh Kiều,Cần Thơ</v>
          </cell>
          <cell r="F89" t="str">
            <v>Bài 3: Bệnh viêm cấp tính đường hô hấp ở trẻ em - Nhà thuốc có thể làm gì?</v>
          </cell>
          <cell r="G89" t="str">
            <v>12/23/2019 5:48:15 PM</v>
          </cell>
          <cell r="H89" t="str">
            <v>done all</v>
          </cell>
          <cell r="I89" t="str">
            <v>done</v>
          </cell>
        </row>
        <row r="90">
          <cell r="D90" t="str">
            <v>0915484687</v>
          </cell>
          <cell r="E90" t="str">
            <v>Phạm Văn Thuận, P.Tam Hiệp,Biên Hòa,Đồng Nai</v>
          </cell>
          <cell r="F90" t="str">
            <v>Bài 3: Bệnh viêm cấp tính đường hô hấp ở trẻ em - Nhà thuốc có thể làm gì?</v>
          </cell>
          <cell r="G90" t="str">
            <v>12/20/2019 9:31:51 AM</v>
          </cell>
          <cell r="H90" t="str">
            <v>done all</v>
          </cell>
          <cell r="I90" t="str">
            <v>done</v>
          </cell>
        </row>
        <row r="91">
          <cell r="D91" t="str">
            <v>0916542253</v>
          </cell>
          <cell r="E91" t="str">
            <v>23 hòn nghê, P.Vĩnh Ngọc,Nha Trang,Khánh Hòa</v>
          </cell>
          <cell r="F91" t="str">
            <v>Bài 3: Bệnh viêm cấp tính đường hô hấp ở trẻ em - Nhà thuốc có thể làm gì?</v>
          </cell>
          <cell r="G91" t="str">
            <v>12/17/2019 11:27:45 AM</v>
          </cell>
          <cell r="H91" t="str">
            <v>done all</v>
          </cell>
          <cell r="I91" t="str">
            <v>done</v>
          </cell>
        </row>
        <row r="92">
          <cell r="D92" t="str">
            <v>0918585915</v>
          </cell>
          <cell r="E92" t="str">
            <v>số 3, Nguyễn thành Đồng, P.Trảng Dài,Biên Hòa,Đồng Nai</v>
          </cell>
          <cell r="F92" t="str">
            <v>Bài 3: Bệnh viêm cấp tính đường hô hấp ở trẻ em - Nhà thuốc có thể làm gì?</v>
          </cell>
          <cell r="G92" t="str">
            <v>1/8/2020 8:58:56 AM</v>
          </cell>
          <cell r="H92" t="str">
            <v>done 3 lession</v>
          </cell>
          <cell r="I92" t="str">
            <v>done</v>
          </cell>
        </row>
        <row r="93">
          <cell r="D93" t="str">
            <v>0989868281</v>
          </cell>
          <cell r="E93" t="str">
            <v>15b1, P.Thành Công,Ba Đình,Hà Nội</v>
          </cell>
          <cell r="F93" t="str">
            <v>Bài 3: Bệnh viêm cấp tính đường hô hấp ở trẻ em - Nhà thuốc có thể làm gì?</v>
          </cell>
          <cell r="G93" t="str">
            <v>12/28/2019 2:51:02 PM</v>
          </cell>
          <cell r="H93" t="str">
            <v>done all</v>
          </cell>
          <cell r="I93" t="str">
            <v>done</v>
          </cell>
        </row>
        <row r="94">
          <cell r="D94" t="str">
            <v>0904010682</v>
          </cell>
          <cell r="E94" t="str">
            <v>212 phùng hưng, P.Phúc La,Hà Đông,Hà Nội</v>
          </cell>
          <cell r="F94" t="str">
            <v>Bài 3: Bệnh viêm cấp tính đường hô hấp ở trẻ em - Nhà thuốc có thể làm gì?</v>
          </cell>
          <cell r="G94" t="str">
            <v>12/27/2019 7:09:05 PM</v>
          </cell>
          <cell r="H94" t="str">
            <v>done 3 lession</v>
          </cell>
          <cell r="I94" t="str">
            <v>done</v>
          </cell>
        </row>
        <row r="95">
          <cell r="D95" t="str">
            <v>0786948532</v>
          </cell>
          <cell r="E95" t="str">
            <v>85 hoàng hoa thám, P.06,Bình Thạnh,Hồ Chí Minh</v>
          </cell>
          <cell r="F95" t="str">
            <v>Bài 3: Bệnh viêm cấp tính đường hô hấp ở trẻ em - Nhà thuốc có thể làm gì?</v>
          </cell>
          <cell r="G95" t="str">
            <v>2/3/2020 5:31:36 PM</v>
          </cell>
          <cell r="H95" t="e">
            <v>#N/A</v>
          </cell>
          <cell r="I95" t="str">
            <v>done</v>
          </cell>
        </row>
        <row r="96">
          <cell r="D96" t="str">
            <v>0909759344</v>
          </cell>
          <cell r="E96" t="str">
            <v>118a hoang hoa tham, P.07,Bình Thạnh,Hồ Chí Minh</v>
          </cell>
          <cell r="F96" t="str">
            <v>Bài 3: Bệnh viêm cấp tính đường hô hấp ở trẻ em - Nhà thuốc có thể làm gì?</v>
          </cell>
          <cell r="G96" t="str">
            <v>1/14/2020 9:56:19 AM</v>
          </cell>
          <cell r="H96" t="str">
            <v>done 1 lession</v>
          </cell>
          <cell r="I96" t="str">
            <v>done</v>
          </cell>
        </row>
        <row r="97">
          <cell r="D97" t="str">
            <v>0375318796</v>
          </cell>
          <cell r="E97" t="str">
            <v>số 3 phố hoa bằng,phường yên hòa, P.Yên Hoà,Cầu Giấy,Hà Nội</v>
          </cell>
          <cell r="F97" t="str">
            <v>Bài 3: Bệnh viêm cấp tính đường hô hấp ở trẻ em - Nhà thuốc có thể làm gì?</v>
          </cell>
          <cell r="G97" t="str">
            <v>12/26/2019 5:41:27 PM</v>
          </cell>
          <cell r="H97" t="str">
            <v>done all</v>
          </cell>
          <cell r="I97" t="str">
            <v>done</v>
          </cell>
        </row>
        <row r="98">
          <cell r="D98" t="str">
            <v>0988838375</v>
          </cell>
          <cell r="E98" t="str">
            <v>Tang 1,so 145 tran dang ninh, P.Dịch Vọng,Cầu Giấy,Hà Nội</v>
          </cell>
          <cell r="F98" t="str">
            <v>Bài 3: Bệnh viêm cấp tính đường hô hấp ở trẻ em - Nhà thuốc có thể làm gì?</v>
          </cell>
          <cell r="G98" t="str">
            <v>12/26/2019 3:33:19 PM</v>
          </cell>
          <cell r="H98" t="str">
            <v>done all</v>
          </cell>
          <cell r="I98" t="str">
            <v>done</v>
          </cell>
        </row>
        <row r="99">
          <cell r="D99" t="str">
            <v>0937437748</v>
          </cell>
          <cell r="E99" t="str">
            <v>247 cmt 8, P.Hòa Bình,Biên Hòa,Đồng Nai</v>
          </cell>
          <cell r="F99" t="str">
            <v>Bài 3: Bệnh viêm cấp tính đường hô hấp ở trẻ em - Nhà thuốc có thể làm gì?</v>
          </cell>
          <cell r="G99" t="str">
            <v>1/6/2020 9:42:28 AM</v>
          </cell>
          <cell r="H99" t="str">
            <v>done 3 lession</v>
          </cell>
          <cell r="I99" t="str">
            <v>done</v>
          </cell>
        </row>
        <row r="100">
          <cell r="D100" t="str">
            <v>0939461806</v>
          </cell>
          <cell r="E100" t="str">
            <v>21C Nguyễn Văn Linh, P.Hưng Lợi,Ninh Kiều,Cần Thơ</v>
          </cell>
          <cell r="F100" t="str">
            <v>Bài 3: Bệnh viêm cấp tính đường hô hấp ở trẻ em - Nhà thuốc có thể làm gì?</v>
          </cell>
          <cell r="G100" t="str">
            <v>12/20/2019 1:08:00 PM</v>
          </cell>
          <cell r="H100" t="str">
            <v>done all</v>
          </cell>
          <cell r="I100" t="str">
            <v>done</v>
          </cell>
        </row>
        <row r="101">
          <cell r="D101" t="str">
            <v>0942419868</v>
          </cell>
          <cell r="E101" t="str">
            <v>21 yen lac, P.Vĩnh Tuy,Hai Bà Trưng,Hà Nội</v>
          </cell>
          <cell r="F101" t="str">
            <v>Bài 3: Bệnh viêm cấp tính đường hô hấp ở trẻ em - Nhà thuốc có thể làm gì?</v>
          </cell>
          <cell r="G101" t="str">
            <v>12/26/2019 4:57:46 PM</v>
          </cell>
          <cell r="H101" t="str">
            <v>done all</v>
          </cell>
          <cell r="I101" t="str">
            <v>done</v>
          </cell>
        </row>
        <row r="102">
          <cell r="D102" t="str">
            <v>0834600462</v>
          </cell>
          <cell r="E102" t="str">
            <v>tổ 5, kp 5, P.Long Bình,Biên Hòa,Đồng Nai</v>
          </cell>
          <cell r="F102" t="str">
            <v>Bài 3: Bệnh viêm cấp tính đường hô hấp ở trẻ em - Nhà thuốc có thể làm gì?</v>
          </cell>
          <cell r="G102" t="str">
            <v>12/23/2019 8:20:03 PM</v>
          </cell>
          <cell r="H102" t="str">
            <v>done all</v>
          </cell>
          <cell r="I102" t="str">
            <v>done</v>
          </cell>
        </row>
        <row r="103">
          <cell r="D103" t="str">
            <v>0906779084</v>
          </cell>
          <cell r="E103" t="str">
            <v>382 Nguyễn Văn Nghi, P.07,Gò Vấp,Hồ Chí Minh</v>
          </cell>
          <cell r="F103" t="str">
            <v>Bài 3: Bệnh viêm cấp tính đường hô hấp ở trẻ em - Nhà thuốc có thể làm gì?</v>
          </cell>
          <cell r="G103" t="str">
            <v>12/16/2019 10:49:20 AM</v>
          </cell>
          <cell r="H103" t="str">
            <v>done all</v>
          </cell>
          <cell r="I103" t="str">
            <v>done</v>
          </cell>
        </row>
        <row r="104">
          <cell r="D104" t="str">
            <v>0986417770</v>
          </cell>
          <cell r="E104" t="str">
            <v>54/1 Hùng Vương, P.Thới Bình,Ninh Kiều,Cần Thơ</v>
          </cell>
          <cell r="F104" t="str">
            <v>Bài 3: Bệnh viêm cấp tính đường hô hấp ở trẻ em - Nhà thuốc có thể làm gì?</v>
          </cell>
          <cell r="G104" t="str">
            <v>12/16/2019 4:43:09 PM</v>
          </cell>
          <cell r="H104" t="str">
            <v>done all</v>
          </cell>
          <cell r="I104" t="str">
            <v>done</v>
          </cell>
        </row>
        <row r="105">
          <cell r="D105" t="str">
            <v>0902645841</v>
          </cell>
          <cell r="E105" t="str">
            <v>86 Lê Hồng Phong, P.Trà Nóc,Bình Thuỷ,Cần Thơ</v>
          </cell>
          <cell r="F105" t="str">
            <v>Bài 3: Bệnh viêm cấp tính đường hô hấp ở trẻ em - Nhà thuốc có thể làm gì?</v>
          </cell>
          <cell r="G105" t="str">
            <v>12/21/2019 8:27:36 AM</v>
          </cell>
          <cell r="H105" t="str">
            <v>done all</v>
          </cell>
          <cell r="I105" t="str">
            <v>done</v>
          </cell>
        </row>
        <row r="106">
          <cell r="D106" t="str">
            <v>0987631684</v>
          </cell>
          <cell r="E106" t="str">
            <v>72 thanh bình, P.Mộ Lao,Hà Đông,Hà Nội</v>
          </cell>
          <cell r="F106" t="str">
            <v>Bài 3: Bệnh viêm cấp tính đường hô hấp ở trẻ em - Nhà thuốc có thể làm gì?</v>
          </cell>
          <cell r="G106" t="str">
            <v>12/27/2019 6:43:55 PM</v>
          </cell>
          <cell r="H106" t="str">
            <v>done 2 lession</v>
          </cell>
          <cell r="I106" t="str">
            <v>done</v>
          </cell>
        </row>
        <row r="107">
          <cell r="D107" t="str">
            <v>0969543442</v>
          </cell>
          <cell r="E107" t="str">
            <v>82 lo đúc, P.Ngô Thì Nhậm,Hai Bà Trưng,Hà Nội</v>
          </cell>
          <cell r="F107" t="str">
            <v>Bài 3: Bệnh viêm cấp tính đường hô hấp ở trẻ em - Nhà thuốc có thể làm gì?</v>
          </cell>
          <cell r="G107" t="str">
            <v>12/27/2019 12:15:16 PM</v>
          </cell>
          <cell r="H107" t="str">
            <v>done all</v>
          </cell>
          <cell r="I107" t="str">
            <v>done</v>
          </cell>
        </row>
        <row r="108">
          <cell r="D108" t="str">
            <v>0914056363</v>
          </cell>
          <cell r="E108" t="str">
            <v>199 y moan, P.Tân Lợi,Buôn Ma Thuột,Đắk Lắk</v>
          </cell>
          <cell r="F108" t="str">
            <v>Bài 3: Bệnh viêm cấp tính đường hô hấp ở trẻ em - Nhà thuốc có thể làm gì?</v>
          </cell>
          <cell r="G108" t="str">
            <v>12/18/2019 1:30:03 PM</v>
          </cell>
          <cell r="H108" t="str">
            <v>done 2 lession</v>
          </cell>
          <cell r="I108" t="str">
            <v>done</v>
          </cell>
        </row>
        <row r="109">
          <cell r="D109" t="str">
            <v>0919980608</v>
          </cell>
          <cell r="E109" t="str">
            <v>68 cau giay, P.Quan Hoa,Cầu Giấy,Hà Nội</v>
          </cell>
          <cell r="F109" t="str">
            <v>Bài 3: Bệnh viêm cấp tính đường hô hấp ở trẻ em - Nhà thuốc có thể làm gì?</v>
          </cell>
          <cell r="G109" t="str">
            <v>12/23/2019 9:03:35 PM</v>
          </cell>
          <cell r="H109" t="str">
            <v>done 2 lession</v>
          </cell>
          <cell r="I109" t="str">
            <v>done</v>
          </cell>
        </row>
        <row r="110">
          <cell r="D110" t="str">
            <v>0329896636</v>
          </cell>
          <cell r="E110" t="str">
            <v>17 ,ap 3 xa Tam An , P.Long Thành,Long Thành,Đồng Nai</v>
          </cell>
          <cell r="F110" t="str">
            <v>Bài 3: Bệnh viêm cấp tính đường hô hấp ở trẻ em - Nhà thuốc có thể làm gì?</v>
          </cell>
          <cell r="G110" t="str">
            <v>12/19/2019 4:26:34 PM</v>
          </cell>
          <cell r="H110" t="str">
            <v>done all</v>
          </cell>
          <cell r="I110" t="str">
            <v>done</v>
          </cell>
        </row>
        <row r="111">
          <cell r="D111" t="str">
            <v>0908561888</v>
          </cell>
          <cell r="E111" t="str">
            <v>39 Nguyên Huy Tu , P.Tân Định,Quận 1,Hồ Chí Minh</v>
          </cell>
          <cell r="F111" t="str">
            <v>Bài 3: Bệnh viêm cấp tính đường hô hấp ở trẻ em - Nhà thuốc có thể làm gì?</v>
          </cell>
          <cell r="G111" t="str">
            <v>1/10/2020 3:13:56 PM</v>
          </cell>
          <cell r="H111" t="str">
            <v>done 3 lession</v>
          </cell>
          <cell r="I111" t="str">
            <v>done</v>
          </cell>
        </row>
        <row r="112">
          <cell r="D112" t="str">
            <v>0379451595</v>
          </cell>
          <cell r="E112" t="str">
            <v>Bà Hạt 436, P.08,Quận 10,Hồ Chí Minh</v>
          </cell>
          <cell r="F112" t="str">
            <v>Bài 3: Bệnh viêm cấp tính đường hô hấp ở trẻ em - Nhà thuốc có thể làm gì?</v>
          </cell>
          <cell r="G112" t="str">
            <v>12/21/2019 6:00:09 PM</v>
          </cell>
          <cell r="H112" t="str">
            <v>done 3 lession</v>
          </cell>
          <cell r="I112" t="str">
            <v>done</v>
          </cell>
        </row>
        <row r="113">
          <cell r="D113" t="str">
            <v>0974641909</v>
          </cell>
          <cell r="E113" t="str">
            <v>106h4, P.Thành Công,Ba Đình,Hà Nội</v>
          </cell>
          <cell r="F113" t="str">
            <v>Bài 3: Bệnh viêm cấp tính đường hô hấp ở trẻ em - Nhà thuốc có thể làm gì?</v>
          </cell>
          <cell r="G113" t="str">
            <v>12/28/2019 5:57:31 PM</v>
          </cell>
          <cell r="H113" t="str">
            <v>done all</v>
          </cell>
          <cell r="I113" t="str">
            <v>done</v>
          </cell>
        </row>
        <row r="114">
          <cell r="D114" t="str">
            <v>0908500860</v>
          </cell>
          <cell r="E114" t="str">
            <v>1G Văn Cao, P.Tây Thạnh,Tân Phú,Hồ Chí Minh</v>
          </cell>
          <cell r="F114" t="str">
            <v>Bài 3: Bệnh viêm cấp tính đường hô hấp ở trẻ em - Nhà thuốc có thể làm gì?</v>
          </cell>
          <cell r="G114" t="str">
            <v>12/25/2019 4:08:51 PM</v>
          </cell>
          <cell r="H114" t="str">
            <v>done all</v>
          </cell>
          <cell r="I114" t="str">
            <v>done</v>
          </cell>
        </row>
        <row r="115">
          <cell r="D115" t="str">
            <v>0949325551</v>
          </cell>
          <cell r="E115" t="str">
            <v>K3/242D Bui Huu Nghia BH-ĐN, P.Bửu Hòa,Biên Hòa,Đồng Nai</v>
          </cell>
          <cell r="F115" t="str">
            <v>Bài 3: Bệnh viêm cấp tính đường hô hấp ở trẻ em - Nhà thuốc có thể làm gì?</v>
          </cell>
          <cell r="G115" t="str">
            <v>12/21/2019 8:18:33 PM</v>
          </cell>
          <cell r="H115" t="str">
            <v>done all</v>
          </cell>
          <cell r="I115" t="str">
            <v>done</v>
          </cell>
        </row>
        <row r="116">
          <cell r="D116" t="str">
            <v>0838447748</v>
          </cell>
          <cell r="E116" t="str">
            <v>484 bạch mai, P.Trương Định,Hai Bà Trưng,Hà Nội</v>
          </cell>
          <cell r="F116" t="str">
            <v>Bài 3: Bệnh viêm cấp tính đường hô hấp ở trẻ em - Nhà thuốc có thể làm gì?</v>
          </cell>
          <cell r="G116" t="str">
            <v>1/8/2020 11:10:56 AM</v>
          </cell>
          <cell r="H116" t="str">
            <v>done all</v>
          </cell>
          <cell r="I116" t="str">
            <v>done</v>
          </cell>
        </row>
        <row r="117">
          <cell r="D117" t="str">
            <v>0366813637</v>
          </cell>
          <cell r="E117" t="str">
            <v>191 Huỳnh Văn Nghệ ,kp2 , phường bửu long , tp biên hòa , đồng nai, P.Bửu Long,Biên Hòa,Đồng Nai</v>
          </cell>
          <cell r="F117" t="str">
            <v>Bài 3: Bệnh viêm cấp tính đường hô hấp ở trẻ em - Nhà thuốc có thể làm gì?</v>
          </cell>
          <cell r="G117" t="str">
            <v>12/27/2019 6:46:42 AM</v>
          </cell>
          <cell r="H117" t="str">
            <v>done all</v>
          </cell>
          <cell r="I117" t="str">
            <v>done</v>
          </cell>
        </row>
        <row r="118">
          <cell r="D118" t="str">
            <v>0986506734</v>
          </cell>
          <cell r="E118" t="str">
            <v>Nhà số 28,A20,khu tập thể nghĩa tân, P.Nghĩa Tân,Cầu Giấy,Hà Nội</v>
          </cell>
          <cell r="F118" t="str">
            <v>Bài 3: Bệnh viêm cấp tính đường hô hấp ở trẻ em - Nhà thuốc có thể làm gì?</v>
          </cell>
          <cell r="G118" t="str">
            <v>1/14/2020 11:29:06 AM</v>
          </cell>
          <cell r="H118" t="str">
            <v>done all</v>
          </cell>
          <cell r="I118" t="str">
            <v>done</v>
          </cell>
        </row>
        <row r="119">
          <cell r="D119" t="str">
            <v>0352028046</v>
          </cell>
          <cell r="E119" t="str">
            <v>180 minh phung , P.06,Quận 6,Hồ Chí Minh</v>
          </cell>
          <cell r="F119" t="str">
            <v>Bài 3: Bệnh viêm cấp tính đường hô hấp ở trẻ em - Nhà thuốc có thể làm gì?</v>
          </cell>
          <cell r="G119" t="str">
            <v>1/16/2020 2:08:19 PM</v>
          </cell>
          <cell r="H119" t="str">
            <v>done all</v>
          </cell>
          <cell r="I119" t="str">
            <v>done</v>
          </cell>
        </row>
        <row r="120">
          <cell r="D120" t="str">
            <v>0937451684</v>
          </cell>
          <cell r="E120" t="str">
            <v>247 to 5 khu phước hải, P.Long Thành,Long Thành,Đồng Nai</v>
          </cell>
          <cell r="F120" t="str">
            <v>Bài 3: Bệnh viêm cấp tính đường hô hấp ở trẻ em - Nhà thuốc có thể làm gì?</v>
          </cell>
          <cell r="G120" t="str">
            <v>12/27/2019 12:52:23 PM</v>
          </cell>
          <cell r="H120" t="str">
            <v>done all</v>
          </cell>
          <cell r="I120" t="str">
            <v>done</v>
          </cell>
        </row>
        <row r="121">
          <cell r="D121" t="str">
            <v>0773789219</v>
          </cell>
          <cell r="E121" t="str">
            <v>246 Dương Quảng Hàm, phường 5, quận Gò Vấp, P.05,Gò Vấp,Hồ Chí Minh</v>
          </cell>
          <cell r="F121" t="str">
            <v>Bài 3: Bệnh viêm cấp tính đường hô hấp ở trẻ em - Nhà thuốc có thể làm gì?</v>
          </cell>
          <cell r="G121" t="str">
            <v>1/4/2020 9:45:57 PM</v>
          </cell>
          <cell r="H121" t="str">
            <v>done all</v>
          </cell>
          <cell r="I121" t="str">
            <v>done</v>
          </cell>
        </row>
        <row r="122">
          <cell r="D122" t="str">
            <v>0934087637</v>
          </cell>
          <cell r="E122" t="str">
            <v>257B Nguyen Bieu- P. 2, P.02,Quận 5,Hồ Chí Minh</v>
          </cell>
          <cell r="F122" t="str">
            <v>Bài 3: Bệnh viêm cấp tính đường hô hấp ở trẻ em - Nhà thuốc có thể làm gì?</v>
          </cell>
          <cell r="G122" t="str">
            <v>1/2/2020 8:23:31 PM</v>
          </cell>
          <cell r="H122" t="str">
            <v>done all</v>
          </cell>
          <cell r="I122" t="str">
            <v>done</v>
          </cell>
        </row>
      </sheetData>
      <sheetData sheetId="7"/>
      <sheetData sheetId="8">
        <row r="8">
          <cell r="D8" t="str">
            <v>0362225885</v>
          </cell>
          <cell r="E8" t="str">
            <v>35 cũ nay 251 Trần Đại Nghĩa, P.Đồng Tâm,Hai Bà Trưng,Hà Nội</v>
          </cell>
          <cell r="F8" t="str">
            <v>Bài 4: Nguy hiểm khi dùng kháng sinh tùy tiện và cách điều trị viêm nhiễm đường hô hấp trên ở trẻ</v>
          </cell>
          <cell r="G8" t="str">
            <v>12/18/2019 9:57:45 AM</v>
          </cell>
          <cell r="H8" t="str">
            <v>done all</v>
          </cell>
          <cell r="I8" t="str">
            <v>done</v>
          </cell>
        </row>
        <row r="9">
          <cell r="D9" t="str">
            <v>0986891582</v>
          </cell>
          <cell r="E9" t="str">
            <v>204 Hoàng Văn Thái, P.Nhân Chính,Thanh Xuân,Hà Nội</v>
          </cell>
          <cell r="F9" t="str">
            <v>Bài 4: Nguy hiểm khi dùng kháng sinh tùy tiện và cách điều trị viêm nhiễm đường hô hấp trên ở trẻ</v>
          </cell>
          <cell r="G9" t="str">
            <v>12/27/2019 8:27:53 PM</v>
          </cell>
          <cell r="H9" t="str">
            <v>done 2 lession</v>
          </cell>
          <cell r="I9" t="str">
            <v>done</v>
          </cell>
        </row>
        <row r="10">
          <cell r="D10" t="str">
            <v>0937234829</v>
          </cell>
          <cell r="E10" t="str">
            <v>Cong quynh, P.Phạm Ngũ Lão,Quận 1,Hồ Chí Minh</v>
          </cell>
          <cell r="F10" t="str">
            <v>Bài 4: Nguy hiểm khi dùng kháng sinh tùy tiện và cách điều trị viêm nhiễm đường hô hấp trên ở trẻ</v>
          </cell>
          <cell r="G10" t="str">
            <v>12/16/2019 3:03:44 PM</v>
          </cell>
          <cell r="H10" t="str">
            <v>done all</v>
          </cell>
          <cell r="I10" t="str">
            <v>done</v>
          </cell>
        </row>
        <row r="11">
          <cell r="D11" t="str">
            <v>0978974964</v>
          </cell>
          <cell r="E11" t="str">
            <v>quốc lộ 14, P.Pơng Drang,Krông Búk,Đắk Lắk</v>
          </cell>
          <cell r="F11" t="str">
            <v>Bài 4: Nguy hiểm khi dùng kháng sinh tùy tiện và cách điều trị viêm nhiễm đường hô hấp trên ở trẻ</v>
          </cell>
          <cell r="G11" t="str">
            <v>12/31/2019 6:31:26 AM</v>
          </cell>
          <cell r="H11" t="str">
            <v>done 3 lession</v>
          </cell>
          <cell r="I11" t="str">
            <v>done</v>
          </cell>
        </row>
        <row r="12">
          <cell r="D12" t="str">
            <v>0949947848</v>
          </cell>
          <cell r="E12" t="str">
            <v>77A Thống Nhất, P.11,Gò Vấp,Hồ Chí Minh</v>
          </cell>
          <cell r="F12" t="str">
            <v>Bài 4: Nguy hiểm khi dùng kháng sinh tùy tiện và cách điều trị viêm nhiễm đường hô hấp trên ở trẻ</v>
          </cell>
          <cell r="G12" t="str">
            <v>12/25/2019 1:09:27 PM</v>
          </cell>
          <cell r="H12" t="str">
            <v>done 2 lession</v>
          </cell>
          <cell r="I12" t="str">
            <v>done</v>
          </cell>
        </row>
        <row r="13">
          <cell r="D13" t="str">
            <v>0902117077</v>
          </cell>
          <cell r="E13" t="str">
            <v>198 Xã Đàn, P.Ô Chợ Dừa,Đống Đa,Hà Nội</v>
          </cell>
          <cell r="F13" t="str">
            <v>Bài 4: Nguy hiểm khi dùng kháng sinh tùy tiện và cách điều trị viêm nhiễm đường hô hấp trên ở trẻ</v>
          </cell>
          <cell r="G13" t="str">
            <v>12/19/2019 1:08:39 PM</v>
          </cell>
          <cell r="H13" t="str">
            <v>done all</v>
          </cell>
          <cell r="I13" t="str">
            <v>done</v>
          </cell>
        </row>
        <row r="14">
          <cell r="D14" t="str">
            <v>0903325275</v>
          </cell>
          <cell r="E14" t="str">
            <v>12, P.Đội Cấn,Ba Đình,Hà Nội</v>
          </cell>
          <cell r="F14" t="str">
            <v>Bài 4: Nguy hiểm khi dùng kháng sinh tùy tiện và cách điều trị viêm nhiễm đường hô hấp trên ở trẻ</v>
          </cell>
          <cell r="G14" t="str">
            <v>12/27/2019 10:05:31 PM</v>
          </cell>
          <cell r="H14" t="str">
            <v>done all</v>
          </cell>
          <cell r="I14" t="str">
            <v>done</v>
          </cell>
        </row>
        <row r="15">
          <cell r="D15" t="str">
            <v>0704968018</v>
          </cell>
          <cell r="E15" t="str">
            <v>110/12 NGUYEN VIET HONG- P. AN PHU, P.An Phú,Ninh Kiều,Cần Thơ</v>
          </cell>
          <cell r="F15" t="str">
            <v>Bài 4: Nguy hiểm khi dùng kháng sinh tùy tiện và cách điều trị viêm nhiễm đường hô hấp trên ở trẻ</v>
          </cell>
          <cell r="G15" t="str">
            <v>12/17/2019 3:24:25 PM</v>
          </cell>
          <cell r="H15" t="str">
            <v>done 3 lession</v>
          </cell>
          <cell r="I15" t="str">
            <v>done</v>
          </cell>
        </row>
        <row r="16">
          <cell r="D16" t="str">
            <v>0907089624</v>
          </cell>
          <cell r="E16" t="str">
            <v>79D4, Khu Vực Thạnh Mỹ, P.Thường Thạnh,Cái Răng,Cần Thơ</v>
          </cell>
          <cell r="F16" t="str">
            <v>Bài 4: Nguy hiểm khi dùng kháng sinh tùy tiện và cách điều trị viêm nhiễm đường hô hấp trên ở trẻ</v>
          </cell>
          <cell r="G16" t="str">
            <v>12/18/2019 9:22:37 AM</v>
          </cell>
          <cell r="H16" t="str">
            <v>done all</v>
          </cell>
          <cell r="I16" t="str">
            <v>done</v>
          </cell>
        </row>
        <row r="17">
          <cell r="D17" t="str">
            <v>0766855066</v>
          </cell>
          <cell r="E17" t="str">
            <v>178, P.Tân An,Ninh Kiều,Cần Thơ</v>
          </cell>
          <cell r="F17" t="str">
            <v>Bài 4: Nguy hiểm khi dùng kháng sinh tùy tiện và cách điều trị viêm nhiễm đường hô hấp trên ở trẻ</v>
          </cell>
          <cell r="G17" t="str">
            <v>12/17/2019 9:45:43 PM</v>
          </cell>
          <cell r="H17" t="str">
            <v>done all</v>
          </cell>
          <cell r="I17" t="str">
            <v>done</v>
          </cell>
        </row>
        <row r="18">
          <cell r="D18" t="str">
            <v>0986190286</v>
          </cell>
          <cell r="E18" t="str">
            <v>204 hồng mai, P.Quỳnh Lôi,Hai Bà Trưng,Hà Nội</v>
          </cell>
          <cell r="F18" t="str">
            <v>Bài 4: Nguy hiểm khi dùng kháng sinh tùy tiện và cách điều trị viêm nhiễm đường hô hấp trên ở trẻ</v>
          </cell>
          <cell r="G18" t="str">
            <v>12/27/2019 1:45:44 PM</v>
          </cell>
          <cell r="H18" t="str">
            <v>done all</v>
          </cell>
          <cell r="I18" t="str">
            <v>done</v>
          </cell>
        </row>
        <row r="19">
          <cell r="D19" t="str">
            <v>0374635903</v>
          </cell>
          <cell r="E19" t="str">
            <v>14 Trần Nhân Tông, P.Nguyễn Du,Hai Bà Trưng,Hà Nội</v>
          </cell>
          <cell r="F19" t="str">
            <v>Bài 4: Nguy hiểm khi dùng kháng sinh tùy tiện và cách điều trị viêm nhiễm đường hô hấp trên ở trẻ</v>
          </cell>
          <cell r="G19" t="str">
            <v>12/27/2019 2:34:29 PM</v>
          </cell>
          <cell r="H19" t="str">
            <v>done all</v>
          </cell>
          <cell r="I19" t="str">
            <v>done</v>
          </cell>
        </row>
        <row r="20">
          <cell r="D20" t="str">
            <v>0908412436</v>
          </cell>
          <cell r="E20" t="str">
            <v>702 HUONG LO 2, P. BINH TRI DONG A, P.Bình Hưng Hòa,Bình Tân,Hồ Chí Minh</v>
          </cell>
          <cell r="F20" t="str">
            <v>Bài 4: Nguy hiểm khi dùng kháng sinh tùy tiện và cách điều trị viêm nhiễm đường hô hấp trên ở trẻ</v>
          </cell>
          <cell r="G20" t="str">
            <v>12/16/2019 1:40:47 PM</v>
          </cell>
          <cell r="H20" t="str">
            <v>done all</v>
          </cell>
          <cell r="I20" t="str">
            <v>done</v>
          </cell>
        </row>
        <row r="21">
          <cell r="D21" t="str">
            <v>0913143031</v>
          </cell>
          <cell r="E21" t="str">
            <v>197, đường 1/5,, P.Tràm Chim,Tam Nông,Đồng Tháp</v>
          </cell>
          <cell r="F21" t="str">
            <v>Bài 4: Nguy hiểm khi dùng kháng sinh tùy tiện và cách điều trị viêm nhiễm đường hô hấp trên ở trẻ</v>
          </cell>
          <cell r="G21" t="str">
            <v>12/19/2019 9:06:59 PM</v>
          </cell>
          <cell r="H21" t="str">
            <v>done 2 lession</v>
          </cell>
          <cell r="I21" t="str">
            <v>done</v>
          </cell>
        </row>
        <row r="22">
          <cell r="D22" t="str">
            <v>0398019788</v>
          </cell>
          <cell r="E22" t="str">
            <v>Số 72 phố Trần Bình, P.Mai Dịch,Cầu Giấy,Hà Nội</v>
          </cell>
          <cell r="F22" t="str">
            <v>Bài 4: Nguy hiểm khi dùng kháng sinh tùy tiện và cách điều trị viêm nhiễm đường hô hấp trên ở trẻ</v>
          </cell>
          <cell r="G22" t="str">
            <v>12/24/2019 1:32:36 PM</v>
          </cell>
          <cell r="H22" t="str">
            <v>done all</v>
          </cell>
          <cell r="I22" t="str">
            <v>done</v>
          </cell>
        </row>
        <row r="23">
          <cell r="D23" t="str">
            <v>0938980689</v>
          </cell>
          <cell r="E23" t="str">
            <v>08 lô C Mạc Thiên Tích , P.11,Quận 5,Hồ Chí Minh</v>
          </cell>
          <cell r="F23" t="str">
            <v>Bài 4: Nguy hiểm khi dùng kháng sinh tùy tiện và cách điều trị viêm nhiễm đường hô hấp trên ở trẻ</v>
          </cell>
          <cell r="G23" t="str">
            <v>12/19/2019 8:24:22 PM</v>
          </cell>
          <cell r="H23" t="str">
            <v>done all</v>
          </cell>
          <cell r="I23" t="str">
            <v>done</v>
          </cell>
        </row>
        <row r="24">
          <cell r="D24" t="str">
            <v>0982600388</v>
          </cell>
          <cell r="E24" t="str">
            <v>81B xuân diệu, P.Quảng An,Tây Hồ,Hà Nội</v>
          </cell>
          <cell r="F24" t="str">
            <v>Bài 4: Nguy hiểm khi dùng kháng sinh tùy tiện và cách điều trị viêm nhiễm đường hô hấp trên ở trẻ</v>
          </cell>
          <cell r="G24" t="str">
            <v>1/4/2020 6:19:41 PM</v>
          </cell>
          <cell r="H24" t="str">
            <v>done all</v>
          </cell>
          <cell r="I24" t="str">
            <v>done</v>
          </cell>
        </row>
        <row r="25">
          <cell r="D25" t="str">
            <v>0372046246</v>
          </cell>
          <cell r="E25" t="str">
            <v>Số nhà 168 Phùng Hưng- Hà Đông - Hà Nội, P.Phúc La,Hà Đông,Hà Nội</v>
          </cell>
          <cell r="F25" t="str">
            <v>Bài 4: Nguy hiểm khi dùng kháng sinh tùy tiện và cách điều trị viêm nhiễm đường hô hấp trên ở trẻ</v>
          </cell>
          <cell r="G25" t="str">
            <v>1/8/2020 6:05:52 PM</v>
          </cell>
          <cell r="H25" t="str">
            <v>done all</v>
          </cell>
          <cell r="I25" t="str">
            <v>done</v>
          </cell>
        </row>
        <row r="26">
          <cell r="D26" t="str">
            <v>0917266219</v>
          </cell>
          <cell r="E26" t="str">
            <v>47 Cửu Long, P.15,Quận 10,Hồ Chí Minh</v>
          </cell>
          <cell r="F26" t="str">
            <v>Bài 4: Nguy hiểm khi dùng kháng sinh tùy tiện và cách điều trị viêm nhiễm đường hô hấp trên ở trẻ</v>
          </cell>
          <cell r="G26" t="str">
            <v>12/25/2019 11:02:08 PM</v>
          </cell>
          <cell r="H26" t="str">
            <v>done all</v>
          </cell>
          <cell r="I26" t="str">
            <v>done</v>
          </cell>
        </row>
        <row r="27">
          <cell r="D27" t="str">
            <v>0965568368</v>
          </cell>
          <cell r="E27" t="str">
            <v>1035 kp 7 phường long bình , P.Long Bình,Biên Hòa,Đồng Nai</v>
          </cell>
          <cell r="F27" t="str">
            <v>Bài 4: Nguy hiểm khi dùng kháng sinh tùy tiện và cách điều trị viêm nhiễm đường hô hấp trên ở trẻ</v>
          </cell>
          <cell r="G27" t="str">
            <v>12/25/2019 6:56:30 PM</v>
          </cell>
          <cell r="H27" t="str">
            <v>done all</v>
          </cell>
          <cell r="I27" t="str">
            <v>done</v>
          </cell>
        </row>
        <row r="28">
          <cell r="D28" t="str">
            <v>0906234770</v>
          </cell>
          <cell r="E28" t="str">
            <v>158/34 vinh tuy, P.Vĩnh Tuy,Hai Bà Trưng,Hà Nội</v>
          </cell>
          <cell r="F28" t="str">
            <v>Bài 4: Nguy hiểm khi dùng kháng sinh tùy tiện và cách điều trị viêm nhiễm đường hô hấp trên ở trẻ</v>
          </cell>
          <cell r="G28" t="str">
            <v>12/27/2019 11:56:00 AM</v>
          </cell>
          <cell r="H28" t="str">
            <v>done all</v>
          </cell>
          <cell r="I28" t="str">
            <v>done</v>
          </cell>
        </row>
        <row r="29">
          <cell r="D29" t="str">
            <v>0979635045</v>
          </cell>
          <cell r="E29" t="str">
            <v>số A21 phố dịch vọng hậu, P.Dịch Vọng Hậu,Cầu Giấy,Hà Nội</v>
          </cell>
          <cell r="F29" t="str">
            <v>Bài 4: Nguy hiểm khi dùng kháng sinh tùy tiện và cách điều trị viêm nhiễm đường hô hấp trên ở trẻ</v>
          </cell>
          <cell r="G29" t="str">
            <v>12/27/2019 9:27:50 PM</v>
          </cell>
          <cell r="H29" t="str">
            <v>done all</v>
          </cell>
          <cell r="I29" t="str">
            <v>done</v>
          </cell>
        </row>
        <row r="30">
          <cell r="D30" t="str">
            <v>0996986777</v>
          </cell>
          <cell r="E30" t="str">
            <v>327/37/11 ymoan, P.Tân Lợi,Buôn Ma Thuột,Đắk Lắk</v>
          </cell>
          <cell r="F30" t="str">
            <v>Bài 4: Nguy hiểm khi dùng kháng sinh tùy tiện và cách điều trị viêm nhiễm đường hô hấp trên ở trẻ</v>
          </cell>
          <cell r="G30" t="str">
            <v>12/19/2019 1:44:46 PM</v>
          </cell>
          <cell r="H30" t="str">
            <v>done all</v>
          </cell>
          <cell r="I30" t="str">
            <v>done</v>
          </cell>
        </row>
        <row r="31">
          <cell r="D31" t="str">
            <v>0979209388</v>
          </cell>
          <cell r="E31" t="str">
            <v>104 bạch mai, P.Cầu Dền,Hai Bà Trưng,Hà Nội</v>
          </cell>
          <cell r="F31" t="str">
            <v>Bài 4: Nguy hiểm khi dùng kháng sinh tùy tiện và cách điều trị viêm nhiễm đường hô hấp trên ở trẻ</v>
          </cell>
          <cell r="G31" t="str">
            <v>12/27/2019 3:15:09 PM</v>
          </cell>
          <cell r="H31" t="str">
            <v>done all</v>
          </cell>
          <cell r="I31" t="str">
            <v>done</v>
          </cell>
        </row>
        <row r="32">
          <cell r="D32" t="str">
            <v>0908822952</v>
          </cell>
          <cell r="E32" t="str">
            <v>351 Tân Hoà Dông, P.Bình Trị Đông,Bình Tân,Hồ Chí Minh</v>
          </cell>
          <cell r="F32" t="str">
            <v>Bài 4: Nguy hiểm khi dùng kháng sinh tùy tiện và cách điều trị viêm nhiễm đường hô hấp trên ở trẻ</v>
          </cell>
          <cell r="G32" t="str">
            <v>12/17/2019 1:46:34 PM</v>
          </cell>
          <cell r="H32" t="str">
            <v>done all</v>
          </cell>
          <cell r="I32" t="str">
            <v>done</v>
          </cell>
        </row>
        <row r="33">
          <cell r="D33" t="str">
            <v>0907406779</v>
          </cell>
          <cell r="E33" t="str">
            <v>73 Tran Binh Trong- P. 1, P.01,Quận 5,Hồ Chí Minh</v>
          </cell>
          <cell r="F33" t="str">
            <v>Bài 4: Nguy hiểm khi dùng kháng sinh tùy tiện và cách điều trị viêm nhiễm đường hô hấp trên ở trẻ</v>
          </cell>
          <cell r="G33" t="str">
            <v>12/24/2019 11:15:22 AM</v>
          </cell>
          <cell r="H33" t="str">
            <v>done all</v>
          </cell>
          <cell r="I33" t="str">
            <v>done</v>
          </cell>
        </row>
        <row r="34">
          <cell r="D34" t="str">
            <v>0905713139</v>
          </cell>
          <cell r="E34" t="str">
            <v>4 yersin , P.Xương Huân,Nha Trang,Khánh Hòa</v>
          </cell>
          <cell r="F34" t="str">
            <v>Bài 4: Nguy hiểm khi dùng kháng sinh tùy tiện và cách điều trị viêm nhiễm đường hô hấp trên ở trẻ</v>
          </cell>
          <cell r="G34" t="str">
            <v>12/23/2019 12:51:09 PM</v>
          </cell>
          <cell r="H34" t="str">
            <v>done all</v>
          </cell>
          <cell r="I34" t="str">
            <v>done</v>
          </cell>
        </row>
        <row r="35">
          <cell r="D35" t="str">
            <v>0909473674</v>
          </cell>
          <cell r="E35" t="str">
            <v>G4A, P.15,Quận 10,Hồ Chí Minh</v>
          </cell>
          <cell r="F35" t="str">
            <v>Bài 4: Nguy hiểm khi dùng kháng sinh tùy tiện và cách điều trị viêm nhiễm đường hô hấp trên ở trẻ</v>
          </cell>
          <cell r="G35" t="str">
            <v>12/19/2019 10:00:23 AM</v>
          </cell>
          <cell r="H35" t="str">
            <v>done 3 lession</v>
          </cell>
          <cell r="I35" t="str">
            <v>done</v>
          </cell>
        </row>
        <row r="36">
          <cell r="D36" t="str">
            <v>0903452774</v>
          </cell>
          <cell r="E36" t="str">
            <v>43A PHAN XÍCH LONG, PHƯỜNG 2, QUẬN PHÚ NHUẬN, TP.HCM, P.02,Phú Nhuận,Hồ Chí Minh</v>
          </cell>
          <cell r="F36" t="str">
            <v>Bài 4: Nguy hiểm khi dùng kháng sinh tùy tiện và cách điều trị viêm nhiễm đường hô hấp trên ở trẻ</v>
          </cell>
          <cell r="G36" t="str">
            <v>1/10/2020 10:54:37 PM</v>
          </cell>
          <cell r="H36" t="str">
            <v>done all</v>
          </cell>
          <cell r="I36" t="str">
            <v>done</v>
          </cell>
        </row>
        <row r="37">
          <cell r="D37" t="str">
            <v>0838313886</v>
          </cell>
          <cell r="E37" t="str">
            <v>54, P.Đống Mác,Hai Bà Trưng,Hà Nội</v>
          </cell>
          <cell r="F37" t="str">
            <v>Bài 4: Nguy hiểm khi dùng kháng sinh tùy tiện và cách điều trị viêm nhiễm đường hô hấp trên ở trẻ</v>
          </cell>
          <cell r="G37" t="str">
            <v>12/27/2019 2:55:23 PM</v>
          </cell>
          <cell r="H37" t="str">
            <v>done all</v>
          </cell>
          <cell r="I37" t="str">
            <v>done</v>
          </cell>
        </row>
        <row r="38">
          <cell r="D38" t="str">
            <v>0379361655</v>
          </cell>
          <cell r="E38" t="str">
            <v>59 Trần Đại Nghĩa, P.Bách Khoa,Hai Bà Trưng,Hà Nội</v>
          </cell>
          <cell r="F38" t="str">
            <v>Bài 4: Nguy hiểm khi dùng kháng sinh tùy tiện và cách điều trị viêm nhiễm đường hô hấp trên ở trẻ</v>
          </cell>
          <cell r="G38" t="str">
            <v>12/16/2019 10:54:35 AM</v>
          </cell>
          <cell r="H38" t="str">
            <v>done all</v>
          </cell>
          <cell r="I38" t="str">
            <v>done</v>
          </cell>
        </row>
        <row r="39">
          <cell r="D39" t="str">
            <v>0973732068</v>
          </cell>
          <cell r="E39" t="str">
            <v>493 Nguyễn Văn Công, P.03,Gò Vấp,Hồ Chí Minh</v>
          </cell>
          <cell r="F39" t="str">
            <v>Bài 4: Nguy hiểm khi dùng kháng sinh tùy tiện và cách điều trị viêm nhiễm đường hô hấp trên ở trẻ</v>
          </cell>
          <cell r="G39" t="str">
            <v>12/16/2019 11:47:03 AM</v>
          </cell>
          <cell r="H39" t="str">
            <v>done all</v>
          </cell>
          <cell r="I39" t="str">
            <v>done</v>
          </cell>
        </row>
        <row r="40">
          <cell r="D40" t="str">
            <v>0971399267</v>
          </cell>
          <cell r="E40" t="str">
            <v>66 to 22 mai dịch, P.Mai Dịch,Cầu Giấy,Hà Nội</v>
          </cell>
          <cell r="F40" t="str">
            <v>Bài 4: Nguy hiểm khi dùng kháng sinh tùy tiện và cách điều trị viêm nhiễm đường hô hấp trên ở trẻ</v>
          </cell>
          <cell r="G40" t="str">
            <v>12/27/2019 1:09:15 PM</v>
          </cell>
          <cell r="H40" t="str">
            <v>done all</v>
          </cell>
          <cell r="I40" t="str">
            <v>done</v>
          </cell>
        </row>
        <row r="41">
          <cell r="D41" t="str">
            <v>0932344890</v>
          </cell>
          <cell r="E41" t="str">
            <v>203/1 lac long quân , P.03,Quận 11,Hồ Chí Minh</v>
          </cell>
          <cell r="F41" t="str">
            <v>Bài 4: Nguy hiểm khi dùng kháng sinh tùy tiện và cách điều trị viêm nhiễm đường hô hấp trên ở trẻ</v>
          </cell>
          <cell r="G41" t="str">
            <v>12/22/2019 8:32:16 PM</v>
          </cell>
          <cell r="H41" t="str">
            <v>done all</v>
          </cell>
          <cell r="I41" t="str">
            <v>done</v>
          </cell>
        </row>
        <row r="42">
          <cell r="D42" t="str">
            <v>0906386965</v>
          </cell>
          <cell r="E42" t="str">
            <v>26 đường 339, P.Phước Long B,Quận 9,Hồ Chí Minh</v>
          </cell>
          <cell r="F42" t="str">
            <v>Bài 4: Nguy hiểm khi dùng kháng sinh tùy tiện và cách điều trị viêm nhiễm đường hô hấp trên ở trẻ</v>
          </cell>
          <cell r="G42" t="str">
            <v>12/25/2019 12:02:23 PM</v>
          </cell>
          <cell r="H42" t="str">
            <v>done 1 lession</v>
          </cell>
          <cell r="I42" t="str">
            <v>done</v>
          </cell>
        </row>
        <row r="43">
          <cell r="D43" t="str">
            <v>0856930090</v>
          </cell>
          <cell r="E43" t="str">
            <v>380P/14B Nguyễn Văn Cừ, P.Xuân Khánh,Ninh Kiều,Cần Thơ</v>
          </cell>
          <cell r="F43" t="str">
            <v>Bài 4: Nguy hiểm khi dùng kháng sinh tùy tiện và cách điều trị viêm nhiễm đường hô hấp trên ở trẻ</v>
          </cell>
          <cell r="G43" t="str">
            <v>12/22/2019 6:15:57 PM</v>
          </cell>
          <cell r="H43" t="str">
            <v>done all</v>
          </cell>
          <cell r="I43" t="str">
            <v>done</v>
          </cell>
        </row>
        <row r="44">
          <cell r="D44" t="str">
            <v>0962541648</v>
          </cell>
          <cell r="E44" t="str">
            <v>169 Mai Hac De, P.Lê Đại Hành,Hai Bà Trưng,Hà Nội</v>
          </cell>
          <cell r="F44" t="str">
            <v>Bài 4: Nguy hiểm khi dùng kháng sinh tùy tiện và cách điều trị viêm nhiễm đường hô hấp trên ở trẻ</v>
          </cell>
          <cell r="G44" t="str">
            <v>12/27/2019 11:51:18 AM</v>
          </cell>
          <cell r="H44" t="str">
            <v>done all</v>
          </cell>
          <cell r="I44" t="str">
            <v>done</v>
          </cell>
        </row>
        <row r="45">
          <cell r="D45" t="str">
            <v>0979379730</v>
          </cell>
          <cell r="E45" t="str">
            <v>28 Đội Cấn, P.Đội Cấn,Ba Đình,Hà Nội</v>
          </cell>
          <cell r="F45" t="str">
            <v>Bài 4: Nguy hiểm khi dùng kháng sinh tùy tiện và cách điều trị viêm nhiễm đường hô hấp trên ở trẻ</v>
          </cell>
          <cell r="G45" t="str">
            <v>12/28/2019 2:46:32 PM</v>
          </cell>
          <cell r="H45" t="str">
            <v>done all</v>
          </cell>
          <cell r="I45" t="str">
            <v>done</v>
          </cell>
        </row>
        <row r="46">
          <cell r="D46" t="str">
            <v>0912174547</v>
          </cell>
          <cell r="E46" t="str">
            <v>1/1, ấp An Hòa, P.Hóa An,Biên Hòa,Đồng Nai</v>
          </cell>
          <cell r="F46" t="str">
            <v>Bài 4: Nguy hiểm khi dùng kháng sinh tùy tiện và cách điều trị viêm nhiễm đường hô hấp trên ở trẻ</v>
          </cell>
          <cell r="G46" t="str">
            <v>12/21/2019 5:13:37 PM</v>
          </cell>
          <cell r="H46" t="str">
            <v>done all</v>
          </cell>
          <cell r="I46" t="str">
            <v>done</v>
          </cell>
        </row>
        <row r="47">
          <cell r="D47" t="str">
            <v>0398731385</v>
          </cell>
          <cell r="E47" t="str">
            <v>381a, P.Tân Chính,Thanh Khê,Đà Nẵng</v>
          </cell>
          <cell r="F47" t="str">
            <v>Bài 4: Nguy hiểm khi dùng kháng sinh tùy tiện và cách điều trị viêm nhiễm đường hô hấp trên ở trẻ</v>
          </cell>
          <cell r="G47" t="str">
            <v>12/25/2019 1:57:58 PM</v>
          </cell>
          <cell r="H47" t="str">
            <v>done 1 lession</v>
          </cell>
          <cell r="I47" t="str">
            <v>done</v>
          </cell>
        </row>
        <row r="48">
          <cell r="D48" t="str">
            <v>0342826369</v>
          </cell>
          <cell r="E48" t="str">
            <v>176A Thống Nhất, P.Phương Sài,Nha Trang,Khánh Hòa</v>
          </cell>
          <cell r="F48" t="str">
            <v>Bài 4: Nguy hiểm khi dùng kháng sinh tùy tiện và cách điều trị viêm nhiễm đường hô hấp trên ở trẻ</v>
          </cell>
          <cell r="G48" t="str">
            <v>12/19/2019 8:20:12 AM</v>
          </cell>
          <cell r="H48" t="str">
            <v>done all</v>
          </cell>
          <cell r="I48" t="str">
            <v>done</v>
          </cell>
        </row>
        <row r="49">
          <cell r="D49" t="str">
            <v>033650324</v>
          </cell>
          <cell r="E49" t="str">
            <v>45/295 bạch mai, P.Bạch Mai,Hai Bà Trưng,Hà Nội</v>
          </cell>
          <cell r="F49" t="str">
            <v>Bài 4: Nguy hiểm khi dùng kháng sinh tùy tiện và cách điều trị viêm nhiễm đường hô hấp trên ở trẻ</v>
          </cell>
          <cell r="G49" t="str">
            <v>12/27/2019 11:33:01 AM</v>
          </cell>
          <cell r="H49" t="str">
            <v>done all</v>
          </cell>
          <cell r="I49" t="str">
            <v>done</v>
          </cell>
        </row>
        <row r="50">
          <cell r="D50" t="str">
            <v>0358526172</v>
          </cell>
          <cell r="E50" t="str">
            <v>106H4, P.Thành Công,Ba Đình,Hà Nội</v>
          </cell>
          <cell r="F50" t="str">
            <v>Bài 4: Nguy hiểm khi dùng kháng sinh tùy tiện và cách điều trị viêm nhiễm đường hô hấp trên ở trẻ</v>
          </cell>
          <cell r="G50" t="str">
            <v>12/25/2019 1:29:43 PM</v>
          </cell>
          <cell r="H50" t="str">
            <v>done all</v>
          </cell>
          <cell r="I50" t="str">
            <v>done</v>
          </cell>
        </row>
        <row r="51">
          <cell r="D51" t="str">
            <v>0946344242</v>
          </cell>
          <cell r="E51" t="str">
            <v>2B KV Thạnh Mỹ, P.Thường Thạnh,Cái Răng,Cần Thơ</v>
          </cell>
          <cell r="F51" t="str">
            <v>Bài 4: Nguy hiểm khi dùng kháng sinh tùy tiện và cách điều trị viêm nhiễm đường hô hấp trên ở trẻ</v>
          </cell>
          <cell r="G51" t="str">
            <v>12/18/2019 10:52:11 AM</v>
          </cell>
          <cell r="H51" t="str">
            <v>done all</v>
          </cell>
          <cell r="I51" t="str">
            <v>done</v>
          </cell>
        </row>
        <row r="52">
          <cell r="D52" t="str">
            <v>0975384392</v>
          </cell>
          <cell r="E52" t="str">
            <v>15b1 , P.Thành Công,Ba Đình,Hà Nội</v>
          </cell>
          <cell r="F52" t="str">
            <v>Bài 4: Nguy hiểm khi dùng kháng sinh tùy tiện và cách điều trị viêm nhiễm đường hô hấp trên ở trẻ</v>
          </cell>
          <cell r="G52" t="str">
            <v>12/28/2019 3:11:42 PM</v>
          </cell>
          <cell r="H52" t="str">
            <v>done all</v>
          </cell>
          <cell r="I52" t="str">
            <v>done</v>
          </cell>
        </row>
        <row r="53">
          <cell r="D53" t="str">
            <v>0834377770</v>
          </cell>
          <cell r="E53" t="str">
            <v>25 lý tự trọng , P.Tân An,Buôn Ma Thuột,Đắk Lắk</v>
          </cell>
          <cell r="F53" t="str">
            <v>Bài 4: Nguy hiểm khi dùng kháng sinh tùy tiện và cách điều trị viêm nhiễm đường hô hấp trên ở trẻ</v>
          </cell>
          <cell r="G53" t="str">
            <v>1/2/2020 5:44:17 PM</v>
          </cell>
          <cell r="H53" t="str">
            <v>done all</v>
          </cell>
          <cell r="I53" t="str">
            <v>done</v>
          </cell>
        </row>
        <row r="54">
          <cell r="D54" t="str">
            <v>0988192916</v>
          </cell>
          <cell r="E54" t="str">
            <v>233 đường thanh nhàn , P.Thanh Nhàn,Hai Bà Trưng,Hà Nội</v>
          </cell>
          <cell r="F54" t="str">
            <v>Bài 4: Nguy hiểm khi dùng kháng sinh tùy tiện và cách điều trị viêm nhiễm đường hô hấp trên ở trẻ</v>
          </cell>
          <cell r="G54" t="str">
            <v>1/8/2020 9:17:10 PM</v>
          </cell>
          <cell r="H54" t="str">
            <v>done all</v>
          </cell>
          <cell r="I54" t="str">
            <v>done</v>
          </cell>
        </row>
        <row r="55">
          <cell r="D55" t="str">
            <v>0375231202</v>
          </cell>
          <cell r="E55" t="str">
            <v>79 trương Định, P.Trương Định,Hai Bà Trưng,Hà Nội</v>
          </cell>
          <cell r="F55" t="str">
            <v>Bài 4: Nguy hiểm khi dùng kháng sinh tùy tiện và cách điều trị viêm nhiễm đường hô hấp trên ở trẻ</v>
          </cell>
          <cell r="G55" t="str">
            <v>12/19/2019 3:00:59 PM</v>
          </cell>
          <cell r="H55" t="str">
            <v>done all</v>
          </cell>
          <cell r="I55" t="str">
            <v>done</v>
          </cell>
        </row>
        <row r="56">
          <cell r="D56" t="str">
            <v>0982601483</v>
          </cell>
          <cell r="E56" t="str">
            <v>8/10b, đường Huỳnh Văn Nghệ, P.Bửu Long,Biên Hòa,Đồng Nai</v>
          </cell>
          <cell r="F56" t="str">
            <v>Bài 4: Nguy hiểm khi dùng kháng sinh tùy tiện và cách điều trị viêm nhiễm đường hô hấp trên ở trẻ</v>
          </cell>
          <cell r="G56" t="str">
            <v>12/19/2019 3:54:39 PM</v>
          </cell>
          <cell r="H56" t="str">
            <v>done all</v>
          </cell>
          <cell r="I56" t="str">
            <v>done</v>
          </cell>
        </row>
        <row r="57">
          <cell r="D57" t="str">
            <v>0934031747</v>
          </cell>
          <cell r="E57" t="str">
            <v>Huỳnh văn nghệ, P.Bửu Long,Biên Hòa,Đồng Nai</v>
          </cell>
          <cell r="F57" t="str">
            <v>Bài 4: Nguy hiểm khi dùng kháng sinh tùy tiện và cách điều trị viêm nhiễm đường hô hấp trên ở trẻ</v>
          </cell>
          <cell r="G57" t="str">
            <v>12/17/2019 10:59:59 AM</v>
          </cell>
          <cell r="H57" t="str">
            <v>done all</v>
          </cell>
          <cell r="I57" t="str">
            <v>done</v>
          </cell>
        </row>
        <row r="58">
          <cell r="D58" t="str">
            <v>0982028315</v>
          </cell>
          <cell r="E58" t="str">
            <v>5 nguyễn quý đức, P.Thanh Xuân Bắc,Thanh Xuân,Hà Nội</v>
          </cell>
          <cell r="F58" t="str">
            <v>Bài 4: Nguy hiểm khi dùng kháng sinh tùy tiện và cách điều trị viêm nhiễm đường hô hấp trên ở trẻ</v>
          </cell>
          <cell r="G58" t="str">
            <v>12/26/2019 6:50:34 PM</v>
          </cell>
          <cell r="H58" t="str">
            <v>done all</v>
          </cell>
          <cell r="I58" t="str">
            <v>done</v>
          </cell>
        </row>
        <row r="59">
          <cell r="D59" t="str">
            <v>0987074092</v>
          </cell>
          <cell r="E59" t="str">
            <v>266 Lê Thanh Nghị, P.Đồng Tâm,Hai Bà Trưng,Hà Nội</v>
          </cell>
          <cell r="F59" t="str">
            <v>Bài 4: Nguy hiểm khi dùng kháng sinh tùy tiện và cách điều trị viêm nhiễm đường hô hấp trên ở trẻ</v>
          </cell>
          <cell r="G59" t="str">
            <v>12/24/2019 12:59:23 PM</v>
          </cell>
          <cell r="H59" t="str">
            <v>done all</v>
          </cell>
          <cell r="I59" t="str">
            <v>done</v>
          </cell>
        </row>
        <row r="60">
          <cell r="D60" t="str">
            <v>0907469232</v>
          </cell>
          <cell r="E60" t="str">
            <v>Cạnh 335B|1,KV 4,, P.An Khánh,Ninh Kiều,Cần Thơ</v>
          </cell>
          <cell r="F60" t="str">
            <v>Bài 4: Nguy hiểm khi dùng kháng sinh tùy tiện và cách điều trị viêm nhiễm đường hô hấp trên ở trẻ</v>
          </cell>
          <cell r="G60" t="str">
            <v>12/18/2019 4:15:00 PM</v>
          </cell>
          <cell r="H60" t="str">
            <v>done all</v>
          </cell>
          <cell r="I60" t="str">
            <v>done</v>
          </cell>
        </row>
        <row r="61">
          <cell r="D61" t="str">
            <v>0939650407</v>
          </cell>
          <cell r="E61" t="str">
            <v>632 đường 30/4, P.Hưng Lợi,Ninh Kiều,Cần Thơ</v>
          </cell>
          <cell r="F61" t="str">
            <v>Bài 4: Nguy hiểm khi dùng kháng sinh tùy tiện và cách điều trị viêm nhiễm đường hô hấp trên ở trẻ</v>
          </cell>
          <cell r="G61" t="str">
            <v>12/18/2019 1:23:28 PM</v>
          </cell>
          <cell r="H61" t="str">
            <v>done all</v>
          </cell>
          <cell r="I61" t="str">
            <v>done</v>
          </cell>
        </row>
        <row r="62">
          <cell r="D62" t="str">
            <v>0946062900</v>
          </cell>
          <cell r="E62" t="str">
            <v>To 32 khu cau xeo, P.Long Thành,Long Thành,Đồng Nai</v>
          </cell>
          <cell r="F62" t="str">
            <v>Bài 4: Nguy hiểm khi dùng kháng sinh tùy tiện và cách điều trị viêm nhiễm đường hô hấp trên ở trẻ</v>
          </cell>
          <cell r="G62" t="str">
            <v>12/27/2019 2:09:00 PM</v>
          </cell>
          <cell r="H62" t="str">
            <v>done all</v>
          </cell>
          <cell r="I62" t="str">
            <v>done</v>
          </cell>
        </row>
        <row r="63">
          <cell r="D63" t="str">
            <v>0906930651</v>
          </cell>
          <cell r="E63" t="str">
            <v>134 Cách Mạng Tháng Tám, P.Bình Thủy,Bình Thuỷ,Cần Thơ</v>
          </cell>
          <cell r="F63" t="str">
            <v>Bài 4: Nguy hiểm khi dùng kháng sinh tùy tiện và cách điều trị viêm nhiễm đường hô hấp trên ở trẻ</v>
          </cell>
          <cell r="G63" t="str">
            <v>12/25/2019 6:38:27 PM</v>
          </cell>
          <cell r="H63" t="str">
            <v>done all</v>
          </cell>
          <cell r="I63" t="str">
            <v>done</v>
          </cell>
        </row>
        <row r="64">
          <cell r="D64" t="str">
            <v>0945597862</v>
          </cell>
          <cell r="E64" t="str">
            <v>213 Nguyễn Văn Cừ, P.An Bình,Ninh Kiều,Cần Thơ</v>
          </cell>
          <cell r="F64" t="str">
            <v>Bài 4: Nguy hiểm khi dùng kháng sinh tùy tiện và cách điều trị viêm nhiễm đường hô hấp trên ở trẻ</v>
          </cell>
          <cell r="G64" t="str">
            <v>12/18/2019 9:33:18 PM</v>
          </cell>
          <cell r="H64" t="str">
            <v>done all</v>
          </cell>
          <cell r="I64" t="str">
            <v>done</v>
          </cell>
        </row>
        <row r="65">
          <cell r="D65" t="str">
            <v>0377446330</v>
          </cell>
          <cell r="E65" t="str">
            <v>65 Mã Mây, P.Hàng Buồm,Hoàn Kiếm,Hà Nội</v>
          </cell>
          <cell r="F65" t="str">
            <v>Bài 4: Nguy hiểm khi dùng kháng sinh tùy tiện và cách điều trị viêm nhiễm đường hô hấp trên ở trẻ</v>
          </cell>
          <cell r="G65" t="str">
            <v>12/27/2019 8:56:17 PM</v>
          </cell>
          <cell r="H65" t="str">
            <v>done all</v>
          </cell>
          <cell r="I65" t="str">
            <v>done</v>
          </cell>
        </row>
        <row r="66">
          <cell r="D66" t="str">
            <v>0961729669</v>
          </cell>
          <cell r="E66" t="str">
            <v>Số 6 Trương Định, P.Trương Định,Hai Bà Trưng,Hà Nội</v>
          </cell>
          <cell r="F66" t="str">
            <v>Bài 4: Nguy hiểm khi dùng kháng sinh tùy tiện và cách điều trị viêm nhiễm đường hô hấp trên ở trẻ</v>
          </cell>
          <cell r="G66" t="str">
            <v>12/18/2019 1:28:05 PM</v>
          </cell>
          <cell r="H66" t="str">
            <v>done all</v>
          </cell>
          <cell r="I66" t="str">
            <v>done</v>
          </cell>
        </row>
        <row r="67">
          <cell r="D67" t="str">
            <v>0354399713</v>
          </cell>
          <cell r="E67" t="str">
            <v>số 28,phố trung hòa,tổ 18,phường trung hòa, P.Trung Hoà,Cầu Giấy,Hà Nội</v>
          </cell>
          <cell r="F67" t="str">
            <v>Bài 4: Nguy hiểm khi dùng kháng sinh tùy tiện và cách điều trị viêm nhiễm đường hô hấp trên ở trẻ</v>
          </cell>
          <cell r="G67" t="str">
            <v>12/27/2019 9:35:31 PM</v>
          </cell>
          <cell r="H67" t="str">
            <v>done all</v>
          </cell>
          <cell r="I67" t="str">
            <v>done</v>
          </cell>
        </row>
        <row r="68">
          <cell r="D68" t="str">
            <v>0395934439</v>
          </cell>
          <cell r="E68" t="str">
            <v>484 Nguyễn Thái Sơn, P.05,Gò Vấp,Hồ Chí Minh</v>
          </cell>
          <cell r="F68" t="str">
            <v>Bài 4: Nguy hiểm khi dùng kháng sinh tùy tiện và cách điều trị viêm nhiễm đường hô hấp trên ở trẻ</v>
          </cell>
          <cell r="G68" t="str">
            <v>12/25/2019 7:15:20 PM</v>
          </cell>
          <cell r="H68" t="str">
            <v>done 3 lession</v>
          </cell>
          <cell r="I68" t="str">
            <v>done</v>
          </cell>
        </row>
        <row r="69">
          <cell r="D69" t="str">
            <v>0905081777</v>
          </cell>
          <cell r="E69" t="str">
            <v>CAY SO 5, VINH THANH, NHA TRANG, P.Vĩnh Thạnh,Nha Trang,Khánh Hòa</v>
          </cell>
          <cell r="F69" t="str">
            <v>Bài 4: Nguy hiểm khi dùng kháng sinh tùy tiện và cách điều trị viêm nhiễm đường hô hấp trên ở trẻ</v>
          </cell>
          <cell r="G69" t="str">
            <v>12/22/2019 5:10:41 PM</v>
          </cell>
          <cell r="H69" t="str">
            <v>done all</v>
          </cell>
          <cell r="I69" t="str">
            <v>done</v>
          </cell>
        </row>
        <row r="70">
          <cell r="D70" t="str">
            <v>0379175142</v>
          </cell>
          <cell r="E70" t="str">
            <v>299 phan xich long p1 Q PN, P.01,Phú Nhuận,Hồ Chí Minh</v>
          </cell>
          <cell r="F70" t="str">
            <v>Bài 4: Nguy hiểm khi dùng kháng sinh tùy tiện và cách điều trị viêm nhiễm đường hô hấp trên ở trẻ</v>
          </cell>
          <cell r="G70" t="str">
            <v>1/7/2020 4:43:46 PM</v>
          </cell>
          <cell r="H70" t="str">
            <v>done all</v>
          </cell>
          <cell r="I70" t="str">
            <v>done</v>
          </cell>
        </row>
        <row r="71">
          <cell r="D71" t="str">
            <v>0335720009</v>
          </cell>
          <cell r="E71" t="str">
            <v>626 Minh Khai, P.Vĩnh Tuy,Hai Bà Trưng,Hà Nội</v>
          </cell>
          <cell r="F71" t="str">
            <v>Bài 4: Nguy hiểm khi dùng kháng sinh tùy tiện và cách điều trị viêm nhiễm đường hô hấp trên ở trẻ</v>
          </cell>
          <cell r="G71" t="str">
            <v>12/26/2019 4:18:22 PM</v>
          </cell>
          <cell r="H71" t="str">
            <v>done all</v>
          </cell>
          <cell r="I71" t="str">
            <v>done</v>
          </cell>
        </row>
        <row r="72">
          <cell r="D72" t="str">
            <v>0941600819</v>
          </cell>
          <cell r="E72" t="str">
            <v>152-154 đường B21, Khu dân cư 91B, An Khánh, Ninh Kiều, thành phố Cần Thơ, P.An Khánh,Ninh Kiều,Cần Thơ</v>
          </cell>
          <cell r="F72" t="str">
            <v>Bài 4: Nguy hiểm khi dùng kháng sinh tùy tiện và cách điều trị viêm nhiễm đường hô hấp trên ở trẻ</v>
          </cell>
          <cell r="G72" t="str">
            <v>12/19/2019 10:20:49 PM</v>
          </cell>
          <cell r="H72" t="str">
            <v>done all</v>
          </cell>
          <cell r="I72" t="str">
            <v>done</v>
          </cell>
        </row>
        <row r="73">
          <cell r="D73" t="str">
            <v>0903105155</v>
          </cell>
          <cell r="E73" t="str">
            <v>19 HO BA KIEN, PHUONG 15, P.15,Quận 10,Hồ Chí Minh</v>
          </cell>
          <cell r="F73" t="str">
            <v>Bài 4: Nguy hiểm khi dùng kháng sinh tùy tiện và cách điều trị viêm nhiễm đường hô hấp trên ở trẻ</v>
          </cell>
          <cell r="G73" t="str">
            <v>12/25/2019 12:45:55 PM</v>
          </cell>
          <cell r="H73" t="str">
            <v>done all</v>
          </cell>
          <cell r="I73" t="str">
            <v>done</v>
          </cell>
        </row>
        <row r="74">
          <cell r="D74" t="str">
            <v>0902029096</v>
          </cell>
          <cell r="E74" t="str">
            <v>317A TO 10- NGUYEN VAN LINH- P. AN KHANH, P.An Khánh,Ninh Kiều,Cần Thơ</v>
          </cell>
          <cell r="F74" t="str">
            <v>Bài 4: Nguy hiểm khi dùng kháng sinh tùy tiện và cách điều trị viêm nhiễm đường hô hấp trên ở trẻ</v>
          </cell>
          <cell r="G74" t="str">
            <v>12/21/2019 10:22:44 AM</v>
          </cell>
          <cell r="H74" t="str">
            <v>done all</v>
          </cell>
          <cell r="I74" t="str">
            <v>done</v>
          </cell>
        </row>
        <row r="75">
          <cell r="D75" t="str">
            <v>0906726308</v>
          </cell>
          <cell r="E75" t="str">
            <v>98/12c vo thi sau , P.Quyết Thắng,Biên Hòa,Đồng Nai</v>
          </cell>
          <cell r="F75" t="str">
            <v>Bài 4: Nguy hiểm khi dùng kháng sinh tùy tiện và cách điều trị viêm nhiễm đường hô hấp trên ở trẻ</v>
          </cell>
          <cell r="G75" t="str">
            <v>12/24/2019 10:56:27 AM</v>
          </cell>
          <cell r="H75" t="str">
            <v>done all</v>
          </cell>
          <cell r="I75" t="str">
            <v>done</v>
          </cell>
        </row>
        <row r="76">
          <cell r="D76" t="str">
            <v>0945707337</v>
          </cell>
          <cell r="E76" t="str">
            <v>27 Nguyễn Hiền, P.An Khánh,Ninh Kiều,Cần Thơ</v>
          </cell>
          <cell r="F76" t="str">
            <v>Bài 4: Nguy hiểm khi dùng kháng sinh tùy tiện và cách điều trị viêm nhiễm đường hô hấp trên ở trẻ</v>
          </cell>
          <cell r="G76" t="str">
            <v>12/29/2019 6:05:57 PM</v>
          </cell>
          <cell r="H76" t="str">
            <v>done all</v>
          </cell>
          <cell r="I76" t="str">
            <v>done</v>
          </cell>
        </row>
        <row r="77">
          <cell r="D77" t="str">
            <v>0907281808</v>
          </cell>
          <cell r="E77" t="str">
            <v>50, P.Bến Nghé,Quận 1,Hồ Chí Minh</v>
          </cell>
          <cell r="F77" t="str">
            <v>Bài 4: Nguy hiểm khi dùng kháng sinh tùy tiện và cách điều trị viêm nhiễm đường hô hấp trên ở trẻ</v>
          </cell>
          <cell r="G77" t="str">
            <v>12/21/2019 6:58:32 PM</v>
          </cell>
          <cell r="H77" t="str">
            <v>done all</v>
          </cell>
          <cell r="I77" t="str">
            <v>done</v>
          </cell>
        </row>
        <row r="78">
          <cell r="D78" t="str">
            <v>0965983541</v>
          </cell>
          <cell r="E78" t="str">
            <v>15b1, P.Thành Công,Ba Đình,Hà Nội</v>
          </cell>
          <cell r="F78" t="str">
            <v>Bài 4: Nguy hiểm khi dùng kháng sinh tùy tiện và cách điều trị viêm nhiễm đường hô hấp trên ở trẻ</v>
          </cell>
          <cell r="G78" t="str">
            <v>12/28/2019 3:28:57 PM</v>
          </cell>
          <cell r="H78" t="str">
            <v>done all</v>
          </cell>
          <cell r="I78" t="str">
            <v>done</v>
          </cell>
        </row>
        <row r="79">
          <cell r="D79" t="str">
            <v>0943035757</v>
          </cell>
          <cell r="E79" t="str">
            <v>208 ymoan, P.Tân Lợi,Buôn Ma Thuột,Đắk Lắk</v>
          </cell>
          <cell r="F79" t="str">
            <v>Bài 4: Nguy hiểm khi dùng kháng sinh tùy tiện và cách điều trị viêm nhiễm đường hô hấp trên ở trẻ</v>
          </cell>
          <cell r="G79" t="str">
            <v>1/2/2020 1:48:20 PM</v>
          </cell>
          <cell r="H79" t="str">
            <v>done all</v>
          </cell>
          <cell r="I79" t="str">
            <v>done</v>
          </cell>
        </row>
        <row r="80">
          <cell r="D80" t="str">
            <v>02623812452</v>
          </cell>
          <cell r="E80" t="str">
            <v>01 lý thường kiệt, P.Tân Tiến,Buôn Ma Thuột,Đắk Lắk</v>
          </cell>
          <cell r="F80" t="str">
            <v>Bài 4: Nguy hiểm khi dùng kháng sinh tùy tiện và cách điều trị viêm nhiễm đường hô hấp trên ở trẻ</v>
          </cell>
          <cell r="G80" t="str">
            <v>1/3/2020 4:02:49 PM</v>
          </cell>
          <cell r="H80" t="str">
            <v>done all</v>
          </cell>
          <cell r="I80" t="str">
            <v>done</v>
          </cell>
        </row>
        <row r="81">
          <cell r="D81" t="str">
            <v>0399667376</v>
          </cell>
          <cell r="E81" t="str">
            <v>51, P.02,Quận 11,Hồ Chí Minh</v>
          </cell>
          <cell r="F81" t="str">
            <v>Bài 4: Nguy hiểm khi dùng kháng sinh tùy tiện và cách điều trị viêm nhiễm đường hô hấp trên ở trẻ</v>
          </cell>
          <cell r="G81" t="str">
            <v>12/16/2019 11:15:54 AM</v>
          </cell>
          <cell r="H81" t="str">
            <v>done 2 lession</v>
          </cell>
          <cell r="I81" t="str">
            <v>done</v>
          </cell>
        </row>
        <row r="82">
          <cell r="D82" t="str">
            <v>0973242363</v>
          </cell>
          <cell r="E82" t="str">
            <v>19 xóm bạch đằng , P.Vạn Phúc,Hà Đông,Hà Nội</v>
          </cell>
          <cell r="F82" t="str">
            <v>Bài 4: Nguy hiểm khi dùng kháng sinh tùy tiện và cách điều trị viêm nhiễm đường hô hấp trên ở trẻ</v>
          </cell>
          <cell r="G82" t="str">
            <v>12/27/2019 7:30:22 PM</v>
          </cell>
          <cell r="H82" t="str">
            <v>done 1 lession</v>
          </cell>
          <cell r="I82" t="str">
            <v>done</v>
          </cell>
        </row>
        <row r="83">
          <cell r="D83" t="str">
            <v>0912075607</v>
          </cell>
          <cell r="E83" t="str">
            <v>76 Bát Sứ, P.Hàng Bồ,Hoàn Kiếm,Hà Nội</v>
          </cell>
          <cell r="F83" t="str">
            <v>Bài 4: Nguy hiểm khi dùng kháng sinh tùy tiện và cách điều trị viêm nhiễm đường hô hấp trên ở trẻ</v>
          </cell>
          <cell r="G83" t="str">
            <v>12/24/2019 8:53:44 PM</v>
          </cell>
          <cell r="H83" t="str">
            <v>done all</v>
          </cell>
          <cell r="I83" t="str">
            <v>done</v>
          </cell>
        </row>
        <row r="84">
          <cell r="D84" t="str">
            <v>0985733759</v>
          </cell>
          <cell r="E84" t="str">
            <v>169 Hồng mai, P.Quỳnh Lôi,Hai Bà Trưng,Hà Nội</v>
          </cell>
          <cell r="F84" t="str">
            <v>Bài 4: Nguy hiểm khi dùng kháng sinh tùy tiện và cách điều trị viêm nhiễm đường hô hấp trên ở trẻ</v>
          </cell>
          <cell r="G84" t="str">
            <v>12/19/2019 11:16:35 AM</v>
          </cell>
          <cell r="H84" t="str">
            <v>done all</v>
          </cell>
          <cell r="I84" t="str">
            <v>done</v>
          </cell>
        </row>
        <row r="85">
          <cell r="D85" t="str">
            <v>0939434998</v>
          </cell>
          <cell r="E85" t="str">
            <v>24/14 Trần Việt Châu, P.An Hòa,Ninh Kiều,Cần Thơ</v>
          </cell>
          <cell r="F85" t="str">
            <v>Bài 4: Nguy hiểm khi dùng kháng sinh tùy tiện và cách điều trị viêm nhiễm đường hô hấp trên ở trẻ</v>
          </cell>
          <cell r="G85" t="str">
            <v>12/23/2019 6:01:18 PM</v>
          </cell>
          <cell r="H85" t="str">
            <v>done all</v>
          </cell>
          <cell r="I85" t="str">
            <v>done</v>
          </cell>
        </row>
        <row r="86">
          <cell r="D86" t="str">
            <v>0915484687</v>
          </cell>
          <cell r="E86" t="str">
            <v>Phạm Văn Thuận, P.Tam Hiệp,Biên Hòa,Đồng Nai</v>
          </cell>
          <cell r="F86" t="str">
            <v>Bài 4: Nguy hiểm khi dùng kháng sinh tùy tiện và cách điều trị viêm nhiễm đường hô hấp trên ở trẻ</v>
          </cell>
          <cell r="G86" t="str">
            <v>12/21/2019 7:31:49 AM</v>
          </cell>
          <cell r="H86" t="str">
            <v>done all</v>
          </cell>
          <cell r="I86" t="str">
            <v>done</v>
          </cell>
        </row>
        <row r="87">
          <cell r="D87" t="str">
            <v>0916542253</v>
          </cell>
          <cell r="E87" t="str">
            <v>23 hòn nghê, P.Vĩnh Ngọc,Nha Trang,Khánh Hòa</v>
          </cell>
          <cell r="F87" t="str">
            <v>Bài 4: Nguy hiểm khi dùng kháng sinh tùy tiện và cách điều trị viêm nhiễm đường hô hấp trên ở trẻ</v>
          </cell>
          <cell r="G87" t="str">
            <v>12/17/2019 11:43:45 AM</v>
          </cell>
          <cell r="H87" t="str">
            <v>done all</v>
          </cell>
          <cell r="I87" t="str">
            <v>done</v>
          </cell>
        </row>
        <row r="88">
          <cell r="D88" t="str">
            <v>0918585915</v>
          </cell>
          <cell r="E88" t="str">
            <v>số 3, Nguyễn thành Đồng, P.Trảng Dài,Biên Hòa,Đồng Nai</v>
          </cell>
          <cell r="F88" t="str">
            <v>Bài 4: Nguy hiểm khi dùng kháng sinh tùy tiện và cách điều trị viêm nhiễm đường hô hấp trên ở trẻ</v>
          </cell>
          <cell r="G88" t="str">
            <v>1/8/2020 9:13:29 AM</v>
          </cell>
          <cell r="H88" t="str">
            <v>done 3 lession</v>
          </cell>
          <cell r="I88" t="str">
            <v>done</v>
          </cell>
        </row>
        <row r="89">
          <cell r="D89" t="str">
            <v>0989868281</v>
          </cell>
          <cell r="E89" t="str">
            <v>15b1, P.Thành Công,Ba Đình,Hà Nội</v>
          </cell>
          <cell r="F89" t="str">
            <v>Bài 4: Nguy hiểm khi dùng kháng sinh tùy tiện và cách điều trị viêm nhiễm đường hô hấp trên ở trẻ</v>
          </cell>
          <cell r="G89" t="str">
            <v>12/28/2019 3:04:35 PM</v>
          </cell>
          <cell r="H89" t="str">
            <v>done all</v>
          </cell>
          <cell r="I89" t="str">
            <v>done</v>
          </cell>
        </row>
        <row r="90">
          <cell r="D90" t="str">
            <v>0375318796</v>
          </cell>
          <cell r="E90" t="str">
            <v>số 3 phố hoa bằng,phường yên hòa, P.Yên Hoà,Cầu Giấy,Hà Nội</v>
          </cell>
          <cell r="F90" t="str">
            <v>Bài 4: Nguy hiểm khi dùng kháng sinh tùy tiện và cách điều trị viêm nhiễm đường hô hấp trên ở trẻ</v>
          </cell>
          <cell r="G90" t="str">
            <v>12/26/2019 5:10:35 PM</v>
          </cell>
          <cell r="H90" t="str">
            <v>done all</v>
          </cell>
          <cell r="I90" t="str">
            <v>done</v>
          </cell>
        </row>
        <row r="91">
          <cell r="D91" t="str">
            <v>0932225169</v>
          </cell>
          <cell r="E91" t="str">
            <v>120 vũ trọng phụng, P.Hạ Đình,Thanh Xuân,Hà Nội</v>
          </cell>
          <cell r="F91" t="str">
            <v>Bài 4: Nguy hiểm khi dùng kháng sinh tùy tiện và cách điều trị viêm nhiễm đường hô hấp trên ở trẻ</v>
          </cell>
          <cell r="G91" t="str">
            <v>12/26/2019 2:44:51 PM</v>
          </cell>
          <cell r="H91" t="str">
            <v>done 2 lession</v>
          </cell>
          <cell r="I91" t="str">
            <v>done</v>
          </cell>
        </row>
        <row r="92">
          <cell r="D92" t="str">
            <v>0988838375</v>
          </cell>
          <cell r="E92" t="str">
            <v>Tang 1,so 145 tran dang ninh, P.Dịch Vọng,Cầu Giấy,Hà Nội</v>
          </cell>
          <cell r="F92" t="str">
            <v>Bài 4: Nguy hiểm khi dùng kháng sinh tùy tiện và cách điều trị viêm nhiễm đường hô hấp trên ở trẻ</v>
          </cell>
          <cell r="G92" t="str">
            <v>12/26/2019 3:48:24 PM</v>
          </cell>
          <cell r="H92" t="str">
            <v>done all</v>
          </cell>
          <cell r="I92" t="str">
            <v>done</v>
          </cell>
        </row>
        <row r="93">
          <cell r="D93" t="str">
            <v>0937437748</v>
          </cell>
          <cell r="E93" t="str">
            <v>247 cmt 8, P.Hòa Bình,Biên Hòa,Đồng Nai</v>
          </cell>
          <cell r="F93" t="str">
            <v>Bài 4: Nguy hiểm khi dùng kháng sinh tùy tiện và cách điều trị viêm nhiễm đường hô hấp trên ở trẻ</v>
          </cell>
          <cell r="G93" t="str">
            <v>1/6/2020 9:58:13 AM</v>
          </cell>
          <cell r="H93" t="str">
            <v>done 3 lession</v>
          </cell>
          <cell r="I93" t="str">
            <v>done</v>
          </cell>
        </row>
        <row r="94">
          <cell r="D94" t="str">
            <v>0939461806</v>
          </cell>
          <cell r="E94" t="str">
            <v>21C Nguyễn Văn Linh, P.Hưng Lợi,Ninh Kiều,Cần Thơ</v>
          </cell>
          <cell r="F94" t="str">
            <v>Bài 4: Nguy hiểm khi dùng kháng sinh tùy tiện và cách điều trị viêm nhiễm đường hô hấp trên ở trẻ</v>
          </cell>
          <cell r="G94" t="str">
            <v>12/20/2019 11:32:18 PM</v>
          </cell>
          <cell r="H94" t="str">
            <v>done all</v>
          </cell>
          <cell r="I94" t="str">
            <v>done</v>
          </cell>
        </row>
        <row r="95">
          <cell r="D95" t="str">
            <v>0948015846</v>
          </cell>
          <cell r="E95" t="str">
            <v>325/A2 nguyen tri phương , P.Hiệp Hòa,Biên Hòa,Đồng Nai</v>
          </cell>
          <cell r="F95" t="str">
            <v>Bài 4: Nguy hiểm khi dùng kháng sinh tùy tiện và cách điều trị viêm nhiễm đường hô hấp trên ở trẻ</v>
          </cell>
          <cell r="G95" t="str">
            <v>12/24/2019 8:03:39 PM</v>
          </cell>
          <cell r="H95" t="str">
            <v>done 2 lession</v>
          </cell>
          <cell r="I95" t="str">
            <v>done</v>
          </cell>
        </row>
        <row r="96">
          <cell r="D96" t="str">
            <v>0942419868</v>
          </cell>
          <cell r="E96" t="str">
            <v>21 yen lac, P.Vĩnh Tuy,Hai Bà Trưng,Hà Nội</v>
          </cell>
          <cell r="F96" t="str">
            <v>Bài 4: Nguy hiểm khi dùng kháng sinh tùy tiện và cách điều trị viêm nhiễm đường hô hấp trên ở trẻ</v>
          </cell>
          <cell r="G96" t="str">
            <v>12/26/2019 5:10:46 PM</v>
          </cell>
          <cell r="H96" t="str">
            <v>done all</v>
          </cell>
          <cell r="I96" t="str">
            <v>done</v>
          </cell>
        </row>
        <row r="97">
          <cell r="D97" t="str">
            <v>0834600462</v>
          </cell>
          <cell r="E97" t="str">
            <v>tổ 5, kp 5, P.Long Bình,Biên Hòa,Đồng Nai</v>
          </cell>
          <cell r="F97" t="str">
            <v>Bài 4: Nguy hiểm khi dùng kháng sinh tùy tiện và cách điều trị viêm nhiễm đường hô hấp trên ở trẻ</v>
          </cell>
          <cell r="G97" t="str">
            <v>12/23/2019 8:34:36 PM</v>
          </cell>
          <cell r="H97" t="str">
            <v>done all</v>
          </cell>
          <cell r="I97" t="str">
            <v>done</v>
          </cell>
        </row>
        <row r="98">
          <cell r="D98" t="str">
            <v>0906779084</v>
          </cell>
          <cell r="E98" t="str">
            <v>382 Nguyễn Văn Nghi, P.07,Gò Vấp,Hồ Chí Minh</v>
          </cell>
          <cell r="F98" t="str">
            <v>Bài 4: Nguy hiểm khi dùng kháng sinh tùy tiện và cách điều trị viêm nhiễm đường hô hấp trên ở trẻ</v>
          </cell>
          <cell r="G98" t="str">
            <v>1/19/2020 8:50:10 AM</v>
          </cell>
          <cell r="H98" t="str">
            <v>done all</v>
          </cell>
          <cell r="I98" t="str">
            <v>done</v>
          </cell>
        </row>
        <row r="99">
          <cell r="D99" t="str">
            <v>0986417770</v>
          </cell>
          <cell r="E99" t="str">
            <v>54/1 Hùng Vương, P.Thới Bình,Ninh Kiều,Cần Thơ</v>
          </cell>
          <cell r="F99" t="str">
            <v>Bài 4: Nguy hiểm khi dùng kháng sinh tùy tiện và cách điều trị viêm nhiễm đường hô hấp trên ở trẻ</v>
          </cell>
          <cell r="G99" t="str">
            <v>12/18/2019 8:43:21 AM</v>
          </cell>
          <cell r="H99" t="str">
            <v>done all</v>
          </cell>
          <cell r="I99" t="str">
            <v>done</v>
          </cell>
        </row>
        <row r="100">
          <cell r="D100" t="str">
            <v>0902645841</v>
          </cell>
          <cell r="E100" t="str">
            <v>86 Lê Hồng Phong, P.Trà Nóc,Bình Thuỷ,Cần Thơ</v>
          </cell>
          <cell r="F100" t="str">
            <v>Bài 4: Nguy hiểm khi dùng kháng sinh tùy tiện và cách điều trị viêm nhiễm đường hô hấp trên ở trẻ</v>
          </cell>
          <cell r="G100" t="str">
            <v>12/21/2019 8:41:35 AM</v>
          </cell>
          <cell r="H100" t="str">
            <v>done all</v>
          </cell>
          <cell r="I100" t="str">
            <v>done</v>
          </cell>
        </row>
        <row r="101">
          <cell r="D101" t="str">
            <v>0969543442</v>
          </cell>
          <cell r="E101" t="str">
            <v>82 lo đúc, P.Ngô Thì Nhậm,Hai Bà Trưng,Hà Nội</v>
          </cell>
          <cell r="F101" t="str">
            <v>Bài 4: Nguy hiểm khi dùng kháng sinh tùy tiện và cách điều trị viêm nhiễm đường hô hấp trên ở trẻ</v>
          </cell>
          <cell r="G101" t="str">
            <v>12/27/2019 12:28:27 PM</v>
          </cell>
          <cell r="H101" t="str">
            <v>done all</v>
          </cell>
          <cell r="I101" t="str">
            <v>done</v>
          </cell>
        </row>
        <row r="102">
          <cell r="D102" t="str">
            <v>0914056363</v>
          </cell>
          <cell r="E102" t="str">
            <v>199 y moan, P.Tân Lợi,Buôn Ma Thuột,Đắk Lắk</v>
          </cell>
          <cell r="F102" t="str">
            <v>Bài 4: Nguy hiểm khi dùng kháng sinh tùy tiện và cách điều trị viêm nhiễm đường hô hấp trên ở trẻ</v>
          </cell>
          <cell r="G102" t="str">
            <v>12/16/2019 7:21:06 PM</v>
          </cell>
          <cell r="H102" t="str">
            <v>done 2 lession</v>
          </cell>
          <cell r="I102" t="str">
            <v>done</v>
          </cell>
        </row>
        <row r="103">
          <cell r="D103" t="str">
            <v>0919980608</v>
          </cell>
          <cell r="E103" t="str">
            <v>68 cau giay, P.Quan Hoa,Cầu Giấy,Hà Nội</v>
          </cell>
          <cell r="F103" t="str">
            <v>Bài 4: Nguy hiểm khi dùng kháng sinh tùy tiện và cách điều trị viêm nhiễm đường hô hấp trên ở trẻ</v>
          </cell>
          <cell r="G103" t="str">
            <v>12/23/2019 8:28:45 PM</v>
          </cell>
          <cell r="H103" t="str">
            <v>done 2 lession</v>
          </cell>
          <cell r="I103" t="str">
            <v>done</v>
          </cell>
        </row>
        <row r="104">
          <cell r="D104" t="str">
            <v>0329896636</v>
          </cell>
          <cell r="E104" t="str">
            <v>17 ,ap 3 xa Tam An , P.Long Thành,Long Thành,Đồng Nai</v>
          </cell>
          <cell r="F104" t="str">
            <v>Bài 4: Nguy hiểm khi dùng kháng sinh tùy tiện và cách điều trị viêm nhiễm đường hô hấp trên ở trẻ</v>
          </cell>
          <cell r="G104" t="str">
            <v>12/19/2019 4:43:34 PM</v>
          </cell>
          <cell r="H104" t="str">
            <v>done all</v>
          </cell>
          <cell r="I104" t="str">
            <v>done</v>
          </cell>
        </row>
        <row r="105">
          <cell r="D105" t="str">
            <v>0908561888</v>
          </cell>
          <cell r="E105" t="str">
            <v>39 Nguyên Huy Tu , P.Tân Định,Quận 1,Hồ Chí Minh</v>
          </cell>
          <cell r="F105" t="str">
            <v>Bài 4: Nguy hiểm khi dùng kháng sinh tùy tiện và cách điều trị viêm nhiễm đường hô hấp trên ở trẻ</v>
          </cell>
          <cell r="G105" t="str">
            <v>1/10/2020 3:34:54 PM</v>
          </cell>
          <cell r="H105" t="str">
            <v>done 3 lession</v>
          </cell>
          <cell r="I105" t="str">
            <v>done</v>
          </cell>
        </row>
        <row r="106">
          <cell r="D106" t="str">
            <v>0974641909</v>
          </cell>
          <cell r="E106" t="str">
            <v>106h4, P.Thành Công,Ba Đình,Hà Nội</v>
          </cell>
          <cell r="F106" t="str">
            <v>Bài 4: Nguy hiểm khi dùng kháng sinh tùy tiện và cách điều trị viêm nhiễm đường hô hấp trên ở trẻ</v>
          </cell>
          <cell r="G106" t="str">
            <v>12/28/2019 6:10:47 PM</v>
          </cell>
          <cell r="H106" t="str">
            <v>done all</v>
          </cell>
          <cell r="I106" t="str">
            <v>done</v>
          </cell>
        </row>
        <row r="107">
          <cell r="D107" t="str">
            <v>0908500860</v>
          </cell>
          <cell r="E107" t="str">
            <v>1G Văn Cao, P.Tây Thạnh,Tân Phú,Hồ Chí Minh</v>
          </cell>
          <cell r="F107" t="str">
            <v>Bài 4: Nguy hiểm khi dùng kháng sinh tùy tiện và cách điều trị viêm nhiễm đường hô hấp trên ở trẻ</v>
          </cell>
          <cell r="G107" t="str">
            <v>12/25/2019 2:52:29 PM</v>
          </cell>
          <cell r="H107" t="str">
            <v>done all</v>
          </cell>
          <cell r="I107" t="str">
            <v>done</v>
          </cell>
        </row>
        <row r="108">
          <cell r="D108" t="str">
            <v>0779719086</v>
          </cell>
          <cell r="E108" t="str">
            <v>Phạm Văn Thuận/90/1 khu phố 3, P.Tam Hiệp,Biên Hòa,Đồng Nai</v>
          </cell>
          <cell r="F108" t="str">
            <v>Bài 4: Nguy hiểm khi dùng kháng sinh tùy tiện và cách điều trị viêm nhiễm đường hô hấp trên ở trẻ</v>
          </cell>
          <cell r="G108" t="str">
            <v>1/9/2020 11:51:16 AM</v>
          </cell>
          <cell r="H108" t="str">
            <v>done 3 lession</v>
          </cell>
          <cell r="I108" t="str">
            <v>done</v>
          </cell>
        </row>
        <row r="109">
          <cell r="D109" t="str">
            <v>0932282066</v>
          </cell>
          <cell r="E109" t="str">
            <v>57 tân ấp, P.Phúc Xá,Ba Đình,Hà Nội</v>
          </cell>
          <cell r="F109" t="str">
            <v>Bài 4: Nguy hiểm khi dùng kháng sinh tùy tiện và cách điều trị viêm nhiễm đường hô hấp trên ở trẻ</v>
          </cell>
          <cell r="G109" t="str">
            <v>1/8/2020 9:48:10 AM</v>
          </cell>
          <cell r="H109" t="str">
            <v>done 3 lession</v>
          </cell>
          <cell r="I109" t="str">
            <v>done</v>
          </cell>
        </row>
        <row r="110">
          <cell r="D110" t="str">
            <v>0949325551</v>
          </cell>
          <cell r="E110" t="str">
            <v>K3/242D Bui Huu Nghia BH-ĐN, P.Bửu Hòa,Biên Hòa,Đồng Nai</v>
          </cell>
          <cell r="F110" t="str">
            <v>Bài 4: Nguy hiểm khi dùng kháng sinh tùy tiện và cách điều trị viêm nhiễm đường hô hấp trên ở trẻ</v>
          </cell>
          <cell r="G110" t="str">
            <v>12/21/2019 8:02:04 PM</v>
          </cell>
          <cell r="H110" t="str">
            <v>done all</v>
          </cell>
          <cell r="I110" t="str">
            <v>done</v>
          </cell>
        </row>
        <row r="111">
          <cell r="D111" t="str">
            <v>0838447748</v>
          </cell>
          <cell r="E111" t="str">
            <v>484 bạch mai, P.Trương Định,Hai Bà Trưng,Hà Nội</v>
          </cell>
          <cell r="F111" t="str">
            <v>Bài 4: Nguy hiểm khi dùng kháng sinh tùy tiện và cách điều trị viêm nhiễm đường hô hấp trên ở trẻ</v>
          </cell>
          <cell r="G111" t="str">
            <v>1/8/2020 12:38:03 PM</v>
          </cell>
          <cell r="H111" t="str">
            <v>done all</v>
          </cell>
          <cell r="I111" t="str">
            <v>done</v>
          </cell>
        </row>
        <row r="112">
          <cell r="D112" t="str">
            <v>0366813637</v>
          </cell>
          <cell r="E112" t="str">
            <v>191 Huỳnh Văn Nghệ ,kp2 , phường bửu long , tp biên hòa , đồng nai, P.Bửu Long,Biên Hòa,Đồng Nai</v>
          </cell>
          <cell r="F112" t="str">
            <v>Bài 4: Nguy hiểm khi dùng kháng sinh tùy tiện và cách điều trị viêm nhiễm đường hô hấp trên ở trẻ</v>
          </cell>
          <cell r="G112" t="str">
            <v>12/27/2019 7:01:29 AM</v>
          </cell>
          <cell r="H112" t="str">
            <v>done all</v>
          </cell>
          <cell r="I112" t="str">
            <v>done</v>
          </cell>
        </row>
        <row r="113">
          <cell r="D113" t="str">
            <v>0986506734</v>
          </cell>
          <cell r="E113" t="str">
            <v>Nhà số 28,A20,khu tập thể nghĩa tân, P.Nghĩa Tân,Cầu Giấy,Hà Nội</v>
          </cell>
          <cell r="F113" t="str">
            <v>Bài 4: Nguy hiểm khi dùng kháng sinh tùy tiện và cách điều trị viêm nhiễm đường hô hấp trên ở trẻ</v>
          </cell>
          <cell r="G113" t="str">
            <v>1/14/2020 11:44:51 AM</v>
          </cell>
          <cell r="H113" t="str">
            <v>done all</v>
          </cell>
          <cell r="I113" t="str">
            <v>done</v>
          </cell>
        </row>
        <row r="114">
          <cell r="D114" t="str">
            <v>0352028046</v>
          </cell>
          <cell r="E114" t="str">
            <v>180 minh phung , P.06,Quận 6,Hồ Chí Minh</v>
          </cell>
          <cell r="F114" t="str">
            <v>Bài 4: Nguy hiểm khi dùng kháng sinh tùy tiện và cách điều trị viêm nhiễm đường hô hấp trên ở trẻ</v>
          </cell>
          <cell r="G114" t="str">
            <v>1/16/2020 2:23:53 PM</v>
          </cell>
          <cell r="H114" t="str">
            <v>done all</v>
          </cell>
          <cell r="I114" t="str">
            <v>done</v>
          </cell>
        </row>
        <row r="115">
          <cell r="D115" t="str">
            <v>0937451684</v>
          </cell>
          <cell r="E115" t="str">
            <v>247 to 5 khu phước hải, P.Long Thành,Long Thành,Đồng Nai</v>
          </cell>
          <cell r="F115" t="str">
            <v>Bài 4: Nguy hiểm khi dùng kháng sinh tùy tiện và cách điều trị viêm nhiễm đường hô hấp trên ở trẻ</v>
          </cell>
          <cell r="G115" t="str">
            <v>12/27/2019 1:05:35 PM</v>
          </cell>
          <cell r="H115" t="str">
            <v>done all</v>
          </cell>
          <cell r="I115" t="str">
            <v>done</v>
          </cell>
        </row>
        <row r="116">
          <cell r="D116" t="str">
            <v>0773789219</v>
          </cell>
          <cell r="E116" t="str">
            <v>246 Dương Quảng Hàm, phường 5, quận Gò Vấp, P.05,Gò Vấp,Hồ Chí Minh</v>
          </cell>
          <cell r="F116" t="str">
            <v>Bài 4: Nguy hiểm khi dùng kháng sinh tùy tiện và cách điều trị viêm nhiễm đường hô hấp trên ở trẻ</v>
          </cell>
          <cell r="G116" t="str">
            <v>1/6/2020 12:14:53 PM</v>
          </cell>
          <cell r="H116" t="str">
            <v>done all</v>
          </cell>
          <cell r="I116" t="str">
            <v>done</v>
          </cell>
        </row>
        <row r="117">
          <cell r="D117" t="str">
            <v>0934087637</v>
          </cell>
          <cell r="E117" t="str">
            <v>257B Nguyen Bieu- P. 2, P.02,Quận 5,Hồ Chí Minh</v>
          </cell>
          <cell r="F117" t="str">
            <v>Bài 4: Nguy hiểm khi dùng kháng sinh tùy tiện và cách điều trị viêm nhiễm đường hô hấp trên ở trẻ</v>
          </cell>
          <cell r="G117" t="str">
            <v>1/2/2020 8:36:55 PM</v>
          </cell>
          <cell r="H117" t="str">
            <v>done all</v>
          </cell>
          <cell r="I117" t="str">
            <v>done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guyen, Thi Thu Huong" refreshedDate="43871.693060995371" createdVersion="6" refreshedVersion="6" minRefreshableVersion="3" recordCount="282" xr:uid="{46C7A7BD-98C8-40D9-B326-47921F5B8B5B}">
  <cacheSource type="worksheet">
    <worksheetSource ref="A2:L284" sheet="Master list"/>
  </cacheSource>
  <cacheFields count="12">
    <cacheField name="STT" numFmtId="0">
      <sharedItems containsString="0" containsBlank="1" containsNumber="1" containsInteger="1" minValue="1" maxValue="273"/>
    </cacheField>
    <cacheField name="ScName" numFmtId="0">
      <sharedItems containsBlank="1"/>
    </cacheField>
    <cacheField name="Tên nhà thuốc" numFmtId="0">
      <sharedItems containsBlank="1"/>
    </cacheField>
    <cacheField name="Số điện thoại" numFmtId="0">
      <sharedItems/>
    </cacheField>
    <cacheField name="Địa chỉ" numFmtId="0">
      <sharedItems/>
    </cacheField>
    <cacheField name="Bài 1" numFmtId="0">
      <sharedItems/>
    </cacheField>
    <cacheField name="Bài 2" numFmtId="0">
      <sharedItems/>
    </cacheField>
    <cacheField name="Bài 3" numFmtId="0">
      <sharedItems/>
    </cacheField>
    <cacheField name="Bài 4" numFmtId="0">
      <sharedItems/>
    </cacheField>
    <cacheField name="Results" numFmtId="0">
      <sharedItems count="5">
        <s v="NY"/>
        <s v="done 1 lession"/>
        <s v="done all"/>
        <s v="done 2 lession"/>
        <s v="done 3 lession"/>
      </sharedItems>
    </cacheField>
    <cacheField name="Khu vuc" numFmtId="0">
      <sharedItems count="15">
        <s v="HCM"/>
        <s v="HN"/>
        <s v="Đồng Nai"/>
        <s v="Đăk Lăk"/>
        <s v="Cần Thơ"/>
        <s v="An Giang"/>
        <s v="Đồng Tháp"/>
        <s v="Ha Tinh"/>
        <s v="Khánh Hòa"/>
        <s v="Phú Thọ"/>
        <s v="Nghệ An"/>
        <s v="Bình Dương"/>
        <s v="Hải Phòng"/>
        <s v="Da Nang"/>
        <s v="Thanh Hoa"/>
      </sharedItems>
    </cacheField>
    <cacheField name="ASM" numFmtId="0">
      <sharedItems count="4">
        <s v="A. Tri"/>
        <s v="C. Quy"/>
        <s v="A. Tho"/>
        <s v="A. Tua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2">
  <r>
    <n v="1"/>
    <s v="Phan Thi Thu Dong"/>
    <s v="bao chau"/>
    <s v="0908770719"/>
    <s v="436, P.08,Quận 10,Hồ Chí Minh"/>
    <s v="NY"/>
    <s v="NY"/>
    <s v="NY"/>
    <s v="NY"/>
    <x v="0"/>
    <x v="0"/>
    <x v="0"/>
  </r>
  <r>
    <n v="2"/>
    <s v="Nguyễn thị thắm"/>
    <s v="nhà thuốc hải đăng"/>
    <s v="0982819628"/>
    <s v="142 vũ trọng phụng, P.Nhân Chính,Thanh Xuân,Hà Nội"/>
    <s v="done"/>
    <s v="NY"/>
    <s v="NY"/>
    <s v="NY"/>
    <x v="1"/>
    <x v="1"/>
    <x v="1"/>
  </r>
  <r>
    <n v="3"/>
    <s v="Uong Thi Hoang Oanh"/>
    <s v="NHA THUOC MINH TAM"/>
    <s v="0908555420"/>
    <s v="475 BA HAT, P.08,Quận 10,Hồ Chí Minh"/>
    <s v="NY"/>
    <s v="NY"/>
    <s v="NY"/>
    <s v="NY"/>
    <x v="0"/>
    <x v="0"/>
    <x v="0"/>
  </r>
  <r>
    <n v="4"/>
    <s v="Nguyễn văn lợi"/>
    <s v="nhà thuốc hữu nghị "/>
    <s v="0384880866"/>
    <s v="174 hạ đình, P.Thanh Xuân Trung,Thanh Xuân,Hà Nội"/>
    <s v="NY"/>
    <s v="NY"/>
    <s v="NY"/>
    <s v="NY"/>
    <x v="0"/>
    <x v="1"/>
    <x v="1"/>
  </r>
  <r>
    <n v="5"/>
    <s v="Vũ Thị Diên"/>
    <s v="NT Thái Hà"/>
    <s v="0906012898"/>
    <s v="86 Lò Đúc, P.Phạm Đình Hổ,Hai Bà Trưng,Hà Nội"/>
    <s v="done"/>
    <s v="NY"/>
    <s v="NY"/>
    <s v="NY"/>
    <x v="1"/>
    <x v="1"/>
    <x v="1"/>
  </r>
  <r>
    <n v="6"/>
    <s v="nguyen thi thu hien"/>
    <s v="nha thuoc huong dung"/>
    <s v="0352494097"/>
    <s v="72a/5 ph9 phuong tan bien, P.Tân Biên,Biên Hòa,Đồng Nai"/>
    <s v="done"/>
    <s v="NY"/>
    <s v="NY"/>
    <s v="NY"/>
    <x v="1"/>
    <x v="2"/>
    <x v="2"/>
  </r>
  <r>
    <n v="7"/>
    <s v="Nguyen anh phuong"/>
    <s v="nt an huy so 8"/>
    <s v="0356952959"/>
    <s v="Khu do thi thanh thai, P.Dịch Vọng,Cầu Giấy,Hà Nội"/>
    <s v="NY"/>
    <s v="NY"/>
    <s v="done"/>
    <s v="NY"/>
    <x v="1"/>
    <x v="1"/>
    <x v="1"/>
  </r>
  <r>
    <n v="8"/>
    <s v="Nguyễn thị trang"/>
    <s v="nhà thuốc hồ anh tuấn"/>
    <s v="0859363616"/>
    <s v="Tầng 1 - 17T4 trung hoà, P.Nhân Chính,Thanh Xuân,Hà Nội"/>
    <s v="NY"/>
    <s v="NY"/>
    <s v="NY"/>
    <s v="NY"/>
    <x v="0"/>
    <x v="1"/>
    <x v="1"/>
  </r>
  <r>
    <n v="9"/>
    <s v="19339"/>
    <s v="nt 110 vinh tuy"/>
    <s v="0966046385"/>
    <s v="36hoang cau, P.Ô Chợ Dừa,Đống Đa,Hà Nội"/>
    <s v="NY"/>
    <s v="NY"/>
    <s v="NY"/>
    <s v="NY"/>
    <x v="0"/>
    <x v="1"/>
    <x v="1"/>
  </r>
  <r>
    <n v="10"/>
    <s v="Phan thị Huệ"/>
    <s v="nhà thuốc Đức cường"/>
    <s v="0362225885"/>
    <s v="35 cũ nay 251 Trần Đại Nghĩa, P.Đồng Tâm,Hai Bà Trưng,Hà Nội"/>
    <s v="done"/>
    <s v="done"/>
    <s v="done"/>
    <s v="done"/>
    <x v="2"/>
    <x v="1"/>
    <x v="1"/>
  </r>
  <r>
    <n v="11"/>
    <s v="nguyễn khắc dũng"/>
    <s v="nhà thuốc minh hồng 2"/>
    <s v="0986891582"/>
    <s v="204 Hoàng Văn Thái, P.Nhân Chính,Thanh Xuân,Hà Nội"/>
    <s v="done"/>
    <s v="NY"/>
    <s v="NY"/>
    <s v="done"/>
    <x v="3"/>
    <x v="1"/>
    <x v="1"/>
  </r>
  <r>
    <n v="12"/>
    <s v="Lê Thu Hà"/>
    <s v="NT Ngân Hà"/>
    <s v="0937234829"/>
    <s v="Cong quynh, P.Phạm Ngũ Lão,Quận 1,Hồ Chí Minh"/>
    <s v="done"/>
    <s v="done"/>
    <s v="done"/>
    <s v="done"/>
    <x v="2"/>
    <x v="0"/>
    <x v="0"/>
  </r>
  <r>
    <n v="13"/>
    <s v="Nguyễn Bích Thảo"/>
    <s v="Nhà thuốc Thanh Tâm"/>
    <s v="0915960698"/>
    <s v="105/168, P.Ngọc Khánh,Ba Đình,Hà Nội"/>
    <s v="done"/>
    <s v="done"/>
    <s v="done"/>
    <s v="NY"/>
    <x v="4"/>
    <x v="1"/>
    <x v="1"/>
  </r>
  <r>
    <n v="14"/>
    <s v="trần thị thơm"/>
    <s v="quầy thuốc số 11"/>
    <s v="0978974964"/>
    <s v="quốc lộ 14, P.Pơng Drang,Krông Búk,Đắk Lắk"/>
    <s v="NY"/>
    <s v="done"/>
    <s v="done"/>
    <s v="done"/>
    <x v="4"/>
    <x v="3"/>
    <x v="2"/>
  </r>
  <r>
    <n v="15"/>
    <s v="Vn-Location-3839"/>
    <s v="NT Ngọc Việt"/>
    <s v="0902117077"/>
    <s v="198 Xã Đàn, P.Ô Chợ Dừa,Đống Đa,Hà Nội"/>
    <s v="done"/>
    <s v="done"/>
    <s v="done"/>
    <s v="done"/>
    <x v="2"/>
    <x v="1"/>
    <x v="1"/>
  </r>
  <r>
    <n v="16"/>
    <s v="Vũ Hồng Mỹ"/>
    <s v="Nhà thuốc Long"/>
    <s v="0903325275"/>
    <s v="12, P.Đội Cấn,Ba Đình,Hà Nội"/>
    <s v="done"/>
    <s v="done"/>
    <s v="done"/>
    <s v="done"/>
    <x v="2"/>
    <x v="1"/>
    <x v="1"/>
  </r>
  <r>
    <n v="17"/>
    <s v="la kim ngọc"/>
    <s v="NHA THUOC MINH KHANG 2"/>
    <s v="0704968018"/>
    <s v="110/12 NGUYEN VIET HONG- P. AN PHU, P.An Phú,Ninh Kiều,Cần Thơ"/>
    <s v="NY"/>
    <s v="done"/>
    <s v="done"/>
    <s v="done"/>
    <x v="4"/>
    <x v="4"/>
    <x v="2"/>
  </r>
  <r>
    <n v="18"/>
    <s v="NGUYỄN KHẮC QUỐC ĐẠT"/>
    <s v="NHÀ THUỐC BẢO THI 3"/>
    <s v="0907089624"/>
    <s v="79D4, Khu Vực Thạnh Mỹ, P.Thường Thạnh,Cái Răng,Cần Thơ"/>
    <s v="done"/>
    <s v="done"/>
    <s v="done"/>
    <s v="done"/>
    <x v="2"/>
    <x v="4"/>
    <x v="2"/>
  </r>
  <r>
    <n v="19"/>
    <s v="Phạm Thị Sắc"/>
    <s v="nhà thuốc Lê Thị Trà Giang"/>
    <s v="0335720069"/>
    <s v="626 minh khai, P.Vĩnh Tuy,Hai Bà Trưng,Hà Nội"/>
    <s v="done"/>
    <s v="NY"/>
    <s v="NY"/>
    <s v="NY"/>
    <x v="1"/>
    <x v="1"/>
    <x v="1"/>
  </r>
  <r>
    <n v="20"/>
    <s v="Nguyễn thị mỹ phúc"/>
    <s v="Nhà thuốc Trường Phúc"/>
    <s v="0934567663"/>
    <s v="Trần Hưng Đạo, P.Mỹ Thới,Long Xuyên,An Giang"/>
    <s v="NY"/>
    <s v="NY"/>
    <s v="NY"/>
    <s v="NY"/>
    <x v="0"/>
    <x v="5"/>
    <x v="2"/>
  </r>
  <r>
    <n v="21"/>
    <s v="Loan"/>
    <s v="test"/>
    <s v="0766855066"/>
    <s v="178, P.Tân An,Ninh Kiều,Cần Thơ"/>
    <s v="done"/>
    <s v="done"/>
    <s v="done"/>
    <s v="done"/>
    <x v="2"/>
    <x v="4"/>
    <x v="2"/>
  </r>
  <r>
    <n v="22"/>
    <s v="Nguyễn Thế Dương "/>
    <s v="Nhà Thuốc Diễm Nhi "/>
    <s v="0904983201"/>
    <s v="23 Hồ Bá Kiện,, P.15,Quận 10,Hồ Chí Minh"/>
    <s v="NY"/>
    <s v="NY"/>
    <s v="NY"/>
    <s v="NY"/>
    <x v="0"/>
    <x v="0"/>
    <x v="0"/>
  </r>
  <r>
    <n v="23"/>
    <s v="Phạm Thị Mơ"/>
    <s v="nhà thuốc Anh Tuấn"/>
    <s v="0986190286"/>
    <s v="204 hồng mai, P.Quỳnh Lôi,Hai Bà Trưng,Hà Nội"/>
    <s v="done"/>
    <s v="done"/>
    <s v="done"/>
    <s v="done"/>
    <x v="2"/>
    <x v="1"/>
    <x v="1"/>
  </r>
  <r>
    <n v="24"/>
    <s v="C Hằng"/>
    <s v="NT Thanh Binh"/>
    <s v="0374635903"/>
    <s v="14 Trần Nhân Tông, P.Nguyễn Du,Hai Bà Trưng,Hà Nội"/>
    <s v="done"/>
    <s v="done"/>
    <s v="done"/>
    <s v="done"/>
    <x v="2"/>
    <x v="1"/>
    <x v="1"/>
  </r>
  <r>
    <n v="25"/>
    <s v="Nguyễn Hạnh"/>
    <s v="Nhà thuốc huy hoàng"/>
    <s v="09455882666"/>
    <s v="38 nguyễn Thiệp, P.Đồng Xuân,Hoàn Kiếm,Hà Nội"/>
    <s v="NY"/>
    <s v="NY"/>
    <s v="NY"/>
    <s v="NY"/>
    <x v="0"/>
    <x v="1"/>
    <x v="1"/>
  </r>
  <r>
    <n v="26"/>
    <s v="chinh"/>
    <s v="chinh ánh"/>
    <s v="0385750840"/>
    <s v="45, P.Nghĩa Đô,Cầu Giấy,Hà Nội"/>
    <s v="NY"/>
    <s v="NY"/>
    <s v="NY"/>
    <s v="NY"/>
    <x v="0"/>
    <x v="1"/>
    <x v="1"/>
  </r>
  <r>
    <n v="27"/>
    <s v="Ngô Thi Lâm Thuân "/>
    <s v="NT BAO KHOI "/>
    <s v="0908412436"/>
    <s v="702 HUONG LO 2, P. BINH TRI DONG A, P.Bình Hưng Hòa,Bình Tân,Hồ Chí Minh"/>
    <s v="done"/>
    <s v="done"/>
    <s v="done"/>
    <s v="done"/>
    <x v="2"/>
    <x v="0"/>
    <x v="0"/>
  </r>
  <r>
    <n v="28"/>
    <s v="Le thi kim chi"/>
    <s v="NT Hoa Mai"/>
    <s v="0902485557"/>
    <s v="011 Chung Cư Tân Sơn Nhì, P.14,Tân Bình,Hồ Chí Minh"/>
    <s v="done"/>
    <s v="NY"/>
    <s v="NY"/>
    <s v="NY"/>
    <x v="1"/>
    <x v="0"/>
    <x v="0"/>
  </r>
  <r>
    <n v="29"/>
    <s v="Nguyễn Thanh Xuân Nữ"/>
    <s v="Quầy Thuốc Mỹ Anh"/>
    <s v="0913143031"/>
    <s v="197, đường 1/5,, P.Tràm Chim,Tam Nông,Đồng Tháp"/>
    <s v="done"/>
    <s v="NY"/>
    <s v="NY"/>
    <s v="done"/>
    <x v="3"/>
    <x v="6"/>
    <x v="2"/>
  </r>
  <r>
    <n v="30"/>
    <s v="Ngô thị Yến"/>
    <s v="nhà thuốc Nguyễn thị kim liên"/>
    <s v="0398019788"/>
    <s v="Số 72 phố Trần Bình, P.Mai Dịch,Cầu Giấy,Hà Nội"/>
    <s v="done"/>
    <s v="done"/>
    <s v="done"/>
    <s v="done"/>
    <x v="2"/>
    <x v="1"/>
    <x v="1"/>
  </r>
  <r>
    <n v="31"/>
    <s v="Trần Thị Thuỳ Dương"/>
    <s v="NHA THUOC BONG SAO"/>
    <s v="0932985905"/>
    <s v="10 trần việt châu, P.An Hòa,Ninh Kiều,Cần Thơ"/>
    <s v="done"/>
    <s v="NY"/>
    <s v="NY"/>
    <s v="NY"/>
    <x v="1"/>
    <x v="4"/>
    <x v="2"/>
  </r>
  <r>
    <n v="32"/>
    <s v="Âu Chí Kiên"/>
    <s v="Nhà Thuốc Phương Thảo"/>
    <s v="0938980689"/>
    <s v="08 lô C Mạc Thiên Tích , P.11,Quận 5,Hồ Chí Minh"/>
    <s v="done"/>
    <s v="done"/>
    <s v="done"/>
    <s v="done"/>
    <x v="2"/>
    <x v="0"/>
    <x v="0"/>
  </r>
  <r>
    <n v="33"/>
    <s v="Thái thị huệ"/>
    <s v="nhà thuốc DS Vu Van Thu"/>
    <s v="0982600388"/>
    <s v="81B xuân diệu, P.Quảng An,Tây Hồ,Hà Nội"/>
    <s v="done"/>
    <s v="done"/>
    <s v="done"/>
    <s v="done"/>
    <x v="2"/>
    <x v="1"/>
    <x v="1"/>
  </r>
  <r>
    <n v="34"/>
    <s v="Đỗ ngọc anh"/>
    <s v="nhà thuốc số 27"/>
    <s v="0981682196"/>
    <s v="192 dãy 1 sa la, P.Phú La,Hà Đông,Hà Nội"/>
    <s v="NY"/>
    <s v="NY"/>
    <s v="NY"/>
    <s v="NY"/>
    <x v="0"/>
    <x v="1"/>
    <x v="1"/>
  </r>
  <r>
    <n v="35"/>
    <s v="Đỗ Thuỳ Dương"/>
    <s v="Nhà thuốc Nguyên Khang"/>
    <s v="0372046246"/>
    <s v="Số nhà 168 Phùng Hưng- Hà Đông - Hà Nội, P.Phúc La,Hà Đông,Hà Nội"/>
    <s v="done"/>
    <s v="done"/>
    <s v="done"/>
    <s v="done"/>
    <x v="2"/>
    <x v="1"/>
    <x v="1"/>
  </r>
  <r>
    <n v="36"/>
    <s v="Lê Thị Tâm Uyên "/>
    <s v="NT Phương Khánh "/>
    <s v="0908275696"/>
    <s v="Hai Bà Trưng, P. Mỹ Long, Tp. Long Xuyên, P.Mỹ Long,Long Xuyên,An Giang"/>
    <s v="done"/>
    <s v="NY"/>
    <s v="NY"/>
    <s v="NY"/>
    <x v="1"/>
    <x v="5"/>
    <x v="2"/>
  </r>
  <r>
    <n v="37"/>
    <s v="Trương Thị Hồng"/>
    <s v="NT Hải Minh"/>
    <s v="0917266219"/>
    <s v="47 Cửu Long, P.15,Quận 10,Hồ Chí Minh"/>
    <s v="done"/>
    <s v="done"/>
    <s v="done"/>
    <s v="done"/>
    <x v="2"/>
    <x v="0"/>
    <x v="0"/>
  </r>
  <r>
    <n v="38"/>
    <s v="tran thi na"/>
    <s v="nt so 86"/>
    <s v="0979336497"/>
    <s v="86 no trang long, P.Tân Tiến,Buôn Ma Thuột,Đắk Lắk"/>
    <s v="done"/>
    <s v="NY"/>
    <s v="NY"/>
    <s v="NY"/>
    <x v="1"/>
    <x v="3"/>
    <x v="2"/>
  </r>
  <r>
    <n v="39"/>
    <s v="Vũ thị bích thuỷ"/>
    <s v="nt minh thu"/>
    <s v="0965568368"/>
    <s v="1035 kp 7 phường long bình , P.Long Bình,Biên Hòa,Đồng Nai"/>
    <s v="done"/>
    <s v="done"/>
    <s v="done"/>
    <s v="done"/>
    <x v="2"/>
    <x v="2"/>
    <x v="2"/>
  </r>
  <r>
    <n v="40"/>
    <s v="Giang"/>
    <s v="nhà tbuốc Ành Dat"/>
    <s v="0906234770"/>
    <s v="158/34 vinh tuy, P.Vĩnh Tuy,Hai Bà Trưng,Hà Nội"/>
    <s v="done"/>
    <s v="done"/>
    <s v="done"/>
    <s v="done"/>
    <x v="2"/>
    <x v="1"/>
    <x v="1"/>
  </r>
  <r>
    <n v="41"/>
    <s v="Lê Thị Huệ"/>
    <s v="Nhà thuốc Minh Phúc"/>
    <s v="0914741139"/>
    <s v="52 Nguyễn Văn Lượng, P.17,Gò Vấp,Hồ Chí Minh"/>
    <s v="NY"/>
    <s v="NY"/>
    <s v="NY"/>
    <s v="NY"/>
    <x v="0"/>
    <x v="0"/>
    <x v="0"/>
  </r>
  <r>
    <n v="42"/>
    <s v="Đào Thị Hòa"/>
    <s v="Nhà thuốc Bảo Ngọc"/>
    <s v="0943958020"/>
    <s v="Số 6 ngõ 34 Âu Cơ, P.Quảng An,Tây Hồ,Hà Nội"/>
    <s v="done"/>
    <s v="NY"/>
    <s v="NY"/>
    <s v="NY"/>
    <x v="1"/>
    <x v="1"/>
    <x v="1"/>
  </r>
  <r>
    <n v="43"/>
    <s v="Phan Thị Thanh Hoài"/>
    <s v="Hoài Trung"/>
    <s v="0906260305"/>
    <s v="95 đường nguyễn Chí Thanh, P.Tân Giang,Hà Tĩnh,Hà Tĩnh"/>
    <s v="NY"/>
    <s v="NY"/>
    <s v="NY"/>
    <s v="NY"/>
    <x v="0"/>
    <x v="7"/>
    <x v="3"/>
  </r>
  <r>
    <n v="44"/>
    <s v="Nguyễn Thị Bích Lan"/>
    <s v="NHÀ THUỐC SỐ 12"/>
    <s v="0903031551"/>
    <s v="373 Điện Biên Phủ, P.04,Quận 3,Hồ Chí Minh"/>
    <s v="NY"/>
    <s v="NY"/>
    <s v="NY"/>
    <s v="NY"/>
    <x v="0"/>
    <x v="0"/>
    <x v="0"/>
  </r>
  <r>
    <n v="45"/>
    <s v="Lê Thị Kim Anh"/>
    <s v="nhà thuốc Tuấn Khang"/>
    <s v="0979635045"/>
    <s v="số A21 phố dịch vọng hậu, P.Dịch Vọng Hậu,Cầu Giấy,Hà Nội"/>
    <s v="done"/>
    <s v="done"/>
    <s v="done"/>
    <s v="done"/>
    <x v="2"/>
    <x v="1"/>
    <x v="1"/>
  </r>
  <r>
    <n v="46"/>
    <s v="Vo duy toan"/>
    <s v="Nt Toan Phu"/>
    <s v="0996986777"/>
    <s v="327/37/11 ymoan, P.Tân Lợi,Buôn Ma Thuột,Đắk Lắk"/>
    <s v="done"/>
    <s v="done"/>
    <s v="done"/>
    <s v="done"/>
    <x v="2"/>
    <x v="3"/>
    <x v="2"/>
  </r>
  <r>
    <n v="47"/>
    <s v="Hoa"/>
    <s v="linh anh"/>
    <s v="0979209388"/>
    <s v="104 bạch mai, P.Cầu Dền,Hai Bà Trưng,Hà Nội"/>
    <s v="done"/>
    <s v="done"/>
    <s v="done"/>
    <s v="done"/>
    <x v="2"/>
    <x v="1"/>
    <x v="1"/>
  </r>
  <r>
    <n v="48"/>
    <s v="Võ Thuỳ Trang"/>
    <s v="nt như ý - 351 Tân Hoà Đông . Q.Bình Tân"/>
    <s v="0908822952"/>
    <s v="351 Tân Hoà Dông, P.Bình Trị Đông,Bình Tân,Hồ Chí Minh"/>
    <s v="done"/>
    <s v="done"/>
    <s v="done"/>
    <s v="done"/>
    <x v="2"/>
    <x v="0"/>
    <x v="0"/>
  </r>
  <r>
    <n v="49"/>
    <s v="Nguyễn Thị Hậu"/>
    <s v="Nhà thuốc Mạnh Hà"/>
    <s v="0382939620"/>
    <s v="Số 145 Quan Nhân, P.Nhân Chính,Thanh Xuân,Hà Nội"/>
    <s v="NY"/>
    <s v="NY"/>
    <s v="NY"/>
    <s v="NY"/>
    <x v="0"/>
    <x v="1"/>
    <x v="1"/>
  </r>
  <r>
    <n v="50"/>
    <s v="Nguyễn Thị Thảo Nguyên"/>
    <s v="Nha Thuoc Minh Khang"/>
    <s v="0907406779"/>
    <s v="73 Tran Binh Trong- P. 1, P.01,Quận 5,Hồ Chí Minh"/>
    <s v="done"/>
    <s v="done"/>
    <s v="done"/>
    <s v="done"/>
    <x v="2"/>
    <x v="0"/>
    <x v="0"/>
  </r>
  <r>
    <n v="51"/>
    <s v="Bùi Duy Anh"/>
    <s v="Nhà thuốc Bảo Nguyên"/>
    <s v="0979894385"/>
    <s v="451 lạc long quân, P.Xuân La,Tây Hồ,Hà Nội"/>
    <s v="NY"/>
    <s v="NY"/>
    <s v="NY"/>
    <s v="NY"/>
    <x v="0"/>
    <x v="1"/>
    <x v="1"/>
  </r>
  <r>
    <n v="52"/>
    <s v="TRẦN THỊ KIM"/>
    <s v="NHÀ THUỐC NHẬT THANH"/>
    <s v="0335192655"/>
    <s v="74 Lê Đức Thọ, P.07,Gò Vấp,Hồ Chí Minh"/>
    <s v="NY"/>
    <s v="NY"/>
    <s v="NY"/>
    <s v="NY"/>
    <x v="0"/>
    <x v="0"/>
    <x v="0"/>
  </r>
  <r>
    <n v="53"/>
    <s v="Lê Hồng Ngọc Thoại"/>
    <s v="NT minh trang"/>
    <s v="0348808485"/>
    <s v="506 Nguyen van cong p3 gv, P.03,Gò Vấp,Hồ Chí Minh"/>
    <s v="NY"/>
    <s v="NY"/>
    <s v="NY"/>
    <s v="NY"/>
    <x v="0"/>
    <x v="0"/>
    <x v="0"/>
  </r>
  <r>
    <n v="54"/>
    <s v="nguyễn thị bích hòa"/>
    <s v="SÁNG TÂM"/>
    <s v="0905713139"/>
    <s v="4 yersin , P.Xương Huân,Nha Trang,Khánh Hòa"/>
    <s v="done"/>
    <s v="done"/>
    <s v="done"/>
    <s v="done"/>
    <x v="2"/>
    <x v="8"/>
    <x v="2"/>
  </r>
  <r>
    <n v="55"/>
    <s v="Nguyễn Thị Huệ"/>
    <s v="quầy thuốc số 04"/>
    <s v="0986998280"/>
    <s v="2775, P.Vân Cơ,Việt Trì,Phú Thọ"/>
    <s v="NY"/>
    <s v="NY"/>
    <s v="NY"/>
    <s v="NY"/>
    <x v="0"/>
    <x v="9"/>
    <x v="3"/>
  </r>
  <r>
    <n v="56"/>
    <s v="vo trung tri"/>
    <s v="NT QUANG TRUNG"/>
    <s v="0904618036"/>
    <s v="124 ngo gia tự, P.Cam Nghĩa,Cam Ranh,Khánh Hòa"/>
    <s v="NY"/>
    <s v="NY"/>
    <s v="NY"/>
    <s v="NY"/>
    <x v="0"/>
    <x v="8"/>
    <x v="2"/>
  </r>
  <r>
    <n v="57"/>
    <s v="Nguyen Thi Kim Hong"/>
    <s v="NT An"/>
    <s v="0909473674"/>
    <s v="G4A, P.15,Quận 10,Hồ Chí Minh"/>
    <s v="NY"/>
    <s v="done"/>
    <s v="done"/>
    <s v="done"/>
    <x v="4"/>
    <x v="0"/>
    <x v="0"/>
  </r>
  <r>
    <n v="58"/>
    <s v="Trần Thị Tuyết"/>
    <s v="NT Linh Chi"/>
    <s v="0337319911"/>
    <s v="270 Trường Chinh, P.Lê Lợi,Vinh,Nghệ An"/>
    <s v="NY"/>
    <s v="NY"/>
    <s v="NY"/>
    <s v="NY"/>
    <x v="0"/>
    <x v="10"/>
    <x v="3"/>
  </r>
  <r>
    <n v="59"/>
    <s v="Nguyễn thị ánh tuyết"/>
    <s v="gia phong"/>
    <s v="0838313886"/>
    <s v="54, P.Đống Mác,Hai Bà Trưng,Hà Nội"/>
    <s v="done"/>
    <s v="done"/>
    <s v="done"/>
    <s v="done"/>
    <x v="2"/>
    <x v="1"/>
    <x v="1"/>
  </r>
  <r>
    <n v="60"/>
    <s v="Võ Thị Bút"/>
    <s v="Nha thuoc Quốc Bảo "/>
    <s v="0938855106"/>
    <s v="A49 Nguyễn Thần Hiến, P.18,Quận 4,Hồ Chí Minh"/>
    <s v="NY"/>
    <s v="NY"/>
    <s v="NY"/>
    <s v="NY"/>
    <x v="0"/>
    <x v="0"/>
    <x v="0"/>
  </r>
  <r>
    <n v="61"/>
    <s v="Thuỷ"/>
    <s v="NT Thanh Thủy"/>
    <s v="0975994088"/>
    <s v="180 Xuân Diệu, P.Yên Phụ,Tây Hồ,Hà Nội"/>
    <s v="NY"/>
    <s v="NY"/>
    <s v="NY"/>
    <s v="NY"/>
    <x v="0"/>
    <x v="1"/>
    <x v="1"/>
  </r>
  <r>
    <n v="62"/>
    <s v="Đinh Thị Thu Nga"/>
    <s v="nhà thuốc Hương Nga"/>
    <s v="0379361655"/>
    <s v="59 Trần Đại Nghĩa, P.Bách Khoa,Hai Bà Trưng,Hà Nội"/>
    <s v="done"/>
    <s v="done"/>
    <s v="done"/>
    <s v="done"/>
    <x v="2"/>
    <x v="1"/>
    <x v="1"/>
  </r>
  <r>
    <n v="63"/>
    <s v="NGUYỄN THỊ VIỄN HỒNG"/>
    <s v="NT NGUYỄN THÔNG"/>
    <s v="0903781130"/>
    <s v="55 BIS A NGUYỄN THÔNG, P.09,Quận 3,Hồ Chí Minh"/>
    <s v="NY"/>
    <s v="NY"/>
    <s v="NY"/>
    <s v="NY"/>
    <x v="0"/>
    <x v="0"/>
    <x v="0"/>
  </r>
  <r>
    <n v="64"/>
    <s v="Nguyễn Thị Anh Đào"/>
    <s v="NT KIM OANH"/>
    <s v="0973732068"/>
    <s v="493 Nguyễn Văn Công, P.03,Gò Vấp,Hồ Chí Minh"/>
    <s v="done"/>
    <s v="done"/>
    <s v="done"/>
    <s v="done"/>
    <x v="2"/>
    <x v="0"/>
    <x v="0"/>
  </r>
  <r>
    <n v="65"/>
    <s v="diệp thị thanh thuận"/>
    <s v="quầy thuốc vạn phúc 1"/>
    <s v="0853951656"/>
    <s v="91 trần quý cáp, P.Diên Khánh,Diên Khánh,Khánh Hòa"/>
    <s v="NY"/>
    <s v="NY"/>
    <s v="NY"/>
    <s v="NY"/>
    <x v="0"/>
    <x v="8"/>
    <x v="2"/>
  </r>
  <r>
    <n v="66"/>
    <s v="phạm thi mỹ Duyên"/>
    <s v="nha thuốc Thanh Huyền"/>
    <s v="0971399267"/>
    <s v="66 to 22 mai dịch, P.Mai Dịch,Cầu Giấy,Hà Nội"/>
    <s v="done"/>
    <s v="done"/>
    <s v="done"/>
    <s v="done"/>
    <x v="2"/>
    <x v="1"/>
    <x v="1"/>
  </r>
  <r>
    <n v="67"/>
    <s v="võ hoàng thái "/>
    <s v="nhà thuốc ngọc thủy "/>
    <s v="0932344890"/>
    <s v="203/1 lac long quân , P.03,Quận 11,Hồ Chí Minh"/>
    <s v="done"/>
    <s v="done"/>
    <s v="done"/>
    <s v="done"/>
    <x v="2"/>
    <x v="0"/>
    <x v="0"/>
  </r>
  <r>
    <n v="68"/>
    <s v="Văn Mỹ Phụng"/>
    <s v="NHA THUOC KHANH NGOC"/>
    <s v="0856930090"/>
    <s v="380P/14B Nguyễn Văn Cừ, P.Xuân Khánh,Ninh Kiều,Cần Thơ"/>
    <s v="done"/>
    <s v="done"/>
    <s v="done"/>
    <s v="done"/>
    <x v="2"/>
    <x v="4"/>
    <x v="2"/>
  </r>
  <r>
    <n v="69"/>
    <s v="Bùi Thị Nhật"/>
    <s v="nhà thuốc Phương Chính"/>
    <s v="0962541648"/>
    <s v="169 Mai Hac De, P.Lê Đại Hành,Hai Bà Trưng,Hà Nội"/>
    <s v="done"/>
    <s v="done"/>
    <s v="done"/>
    <s v="done"/>
    <x v="2"/>
    <x v="1"/>
    <x v="1"/>
  </r>
  <r>
    <n v="70"/>
    <s v="Hạnh"/>
    <s v="Hạnh Quyền"/>
    <s v="0979379730"/>
    <s v="28 Đội Cấn, P.Đội Cấn,Ba Đình,Hà Nội"/>
    <s v="done"/>
    <s v="done"/>
    <s v="done"/>
    <s v="done"/>
    <x v="2"/>
    <x v="1"/>
    <x v="1"/>
  </r>
  <r>
    <n v="71"/>
    <s v="Bùi Thị Hoa"/>
    <s v="Nhà Thuốc Tân An"/>
    <s v="0912174547"/>
    <s v="1/1, ấp An Hòa, P.Hóa An,Biên Hòa,Đồng Nai"/>
    <s v="done"/>
    <s v="done"/>
    <s v="done"/>
    <s v="done"/>
    <x v="2"/>
    <x v="2"/>
    <x v="2"/>
  </r>
  <r>
    <n v="72"/>
    <s v="Trần Thị Thu Huyền"/>
    <s v="Nhà thuốc Hải Chiến"/>
    <s v="0967861178"/>
    <s v="132, P.Phùng,Đan Phượng,Hà Nội"/>
    <s v="done"/>
    <s v="NY"/>
    <s v="NY"/>
    <s v="NY"/>
    <x v="1"/>
    <x v="1"/>
    <x v="1"/>
  </r>
  <r>
    <n v="73"/>
    <s v="Bùi Thị Hồng"/>
    <s v="NT Kim Châu"/>
    <s v="0907909622"/>
    <s v="16 Hồ Bá Kiện - P.15, P.15,Quận 10,Hồ Chí Minh"/>
    <s v="NY"/>
    <s v="NY"/>
    <s v="NY"/>
    <s v="NY"/>
    <x v="0"/>
    <x v="0"/>
    <x v="0"/>
  </r>
  <r>
    <n v="74"/>
    <s v="Nguyễn thị huế"/>
    <s v="nhà thuốc 36"/>
    <s v="0383720189"/>
    <s v="Số 4, ngõ 58, phố trần bình, P.Mai Dịch,Cầu Giấy,Hà Nội"/>
    <s v="done"/>
    <s v="done"/>
    <s v="done"/>
    <s v="NY"/>
    <x v="4"/>
    <x v="1"/>
    <x v="1"/>
  </r>
  <r>
    <n v="75"/>
    <s v="Đỗ Thị Trúc Mai"/>
    <s v="Nhà thuốc Khang An"/>
    <s v="0342826369"/>
    <s v="176A Thống Nhất, P.Phương Sài,Nha Trang,Khánh Hòa"/>
    <s v="done"/>
    <s v="done"/>
    <s v="done"/>
    <s v="done"/>
    <x v="2"/>
    <x v="8"/>
    <x v="2"/>
  </r>
  <r>
    <n v="76"/>
    <s v="Chiêu Phước Lộc"/>
    <s v="Nhà thuốc Bình Châu"/>
    <s v="0939544608"/>
    <s v="315A/10 nguyễn văn linh, P.An Khánh,Ninh Kiều,Cần Thơ"/>
    <s v="NY"/>
    <s v="NY"/>
    <s v="NY"/>
    <s v="NY"/>
    <x v="0"/>
    <x v="4"/>
    <x v="2"/>
  </r>
  <r>
    <n v="77"/>
    <s v="Nguyễn Thị Hoa"/>
    <s v="Nhà thuốc hoài thu"/>
    <s v="033650324"/>
    <s v="45/295 bạch mai, P.Bạch Mai,Hai Bà Trưng,Hà Nội"/>
    <s v="done"/>
    <s v="done"/>
    <s v="done"/>
    <s v="done"/>
    <x v="2"/>
    <x v="1"/>
    <x v="1"/>
  </r>
  <r>
    <n v="78"/>
    <s v="PHẠM THỊ THU HÀ"/>
    <s v="nha thuoc tu nhan Duc Cuong"/>
    <s v="0964203960"/>
    <s v="so 5- A28, phuong nghia tan, P.Nghĩa Tân,Cầu Giấy,Hà Nội"/>
    <s v="NY"/>
    <s v="NY"/>
    <s v="NY"/>
    <s v="NY"/>
    <x v="0"/>
    <x v="1"/>
    <x v="1"/>
  </r>
  <r>
    <n v="79"/>
    <s v="Nguyễn Ngọc Tân"/>
    <s v="Nhà thuốc DS Nguyễn Thị Vũ Thành"/>
    <s v="0358526172"/>
    <s v="106H4, P.Thành Công,Ba Đình,Hà Nội"/>
    <s v="done"/>
    <s v="done"/>
    <s v="done"/>
    <s v="done"/>
    <x v="2"/>
    <x v="1"/>
    <x v="1"/>
  </r>
  <r>
    <n v="80"/>
    <s v="Trương Thị Thanh"/>
    <s v="NHA THUOC VIFA PHARMACY"/>
    <s v="0395170865"/>
    <s v="80/12 BA VAN- P. 14, P.14,Tân Bình,Hồ Chí Minh"/>
    <s v="NY"/>
    <s v="NY"/>
    <s v="NY"/>
    <s v="NY"/>
    <x v="0"/>
    <x v="0"/>
    <x v="0"/>
  </r>
  <r>
    <n v="81"/>
    <s v="Tô Kim Huệ"/>
    <s v="NHA THUOC KIM PHỤNG"/>
    <s v="0946344242"/>
    <s v="2B KV Thạnh Mỹ, P.Thường Thạnh,Cái Răng,Cần Thơ"/>
    <s v="done"/>
    <s v="done"/>
    <s v="done"/>
    <s v="done"/>
    <x v="2"/>
    <x v="4"/>
    <x v="2"/>
  </r>
  <r>
    <n v="82"/>
    <s v="Nguyễn thị lương"/>
    <s v="Nhà Thuốc Global Tiệp Tươi"/>
    <s v="0975384392"/>
    <s v="15b1 , P.Thành Công,Ba Đình,Hà Nội"/>
    <s v="done"/>
    <s v="done"/>
    <s v="done"/>
    <s v="done"/>
    <x v="2"/>
    <x v="1"/>
    <x v="1"/>
  </r>
  <r>
    <n v="83"/>
    <s v="Nguyễn Thị Hường"/>
    <s v="quầy thuốc 89"/>
    <s v="0834377770"/>
    <s v="25 lý tự trọng , P.Tân An,Buôn Ma Thuột,Đắk Lắk"/>
    <s v="done"/>
    <s v="done"/>
    <s v="done"/>
    <s v="done"/>
    <x v="2"/>
    <x v="3"/>
    <x v="2"/>
  </r>
  <r>
    <n v="84"/>
    <s v="biên"/>
    <s v="nhà thuốc 52 nguyễn trãi "/>
    <s v="0368921989"/>
    <s v="52 nguyễn trãi, P.Nhân Chính,Thanh Xuân,Hà Nội"/>
    <s v="NY"/>
    <s v="done"/>
    <s v="done"/>
    <s v="NY"/>
    <x v="3"/>
    <x v="1"/>
    <x v="1"/>
  </r>
  <r>
    <n v="85"/>
    <s v="Lê thị xuân"/>
    <s v="nhà thuốc chính hãng"/>
    <s v="0983797486"/>
    <s v="31 bế văn đàn, P.Quang Trung,Hà Đông,Hà Nội"/>
    <s v="NY"/>
    <s v="NY"/>
    <s v="NY"/>
    <s v="NY"/>
    <x v="0"/>
    <x v="1"/>
    <x v="1"/>
  </r>
  <r>
    <n v="86"/>
    <s v="Võ thị thuỳ trinh"/>
    <s v="nhà thuốc khôi nguyên"/>
    <s v="0905360374"/>
    <s v="65 vân đồn, P.Phước Hòa,Nha Trang,Khánh Hòa"/>
    <s v="NY"/>
    <s v="NY"/>
    <s v="NY"/>
    <s v="NY"/>
    <x v="0"/>
    <x v="8"/>
    <x v="2"/>
  </r>
  <r>
    <n v="87"/>
    <s v="Lê Trung Hiếu"/>
    <s v="Nt Bệnh Viện Thuận An"/>
    <s v="0982831858"/>
    <s v="Nguyễn Văn Tiết, P.Lái Thiêu,Thuận An,Bình Dương"/>
    <s v="NY"/>
    <s v="NY"/>
    <s v="NY"/>
    <s v="NY"/>
    <x v="0"/>
    <x v="11"/>
    <x v="2"/>
  </r>
  <r>
    <n v="88"/>
    <s v="Trần thị xuyến "/>
    <s v="nhà thuốc an xuyên "/>
    <s v="0988192916"/>
    <s v="233 đường thanh nhàn , P.Thanh Nhàn,Hai Bà Trưng,Hà Nội"/>
    <s v="done"/>
    <s v="done"/>
    <s v="done"/>
    <s v="done"/>
    <x v="2"/>
    <x v="1"/>
    <x v="1"/>
  </r>
  <r>
    <n v="89"/>
    <s v="Hoàng Mỹ Linh"/>
    <s v="NHÀ THUỐC MINH "/>
    <s v="0375231202"/>
    <s v="79 trương Định, P.Trương Định,Hai Bà Trưng,Hà Nội"/>
    <s v="done"/>
    <s v="done"/>
    <s v="done"/>
    <s v="done"/>
    <x v="2"/>
    <x v="1"/>
    <x v="1"/>
  </r>
  <r>
    <n v="90"/>
    <s v="Bui Quang Tri"/>
    <s v="Hung phat"/>
    <s v="0933168858"/>
    <s v="298 Le Van Luong, P.Phước Kiển,Nhà Bè,Hồ Chí Minh"/>
    <s v="NY"/>
    <s v="NY"/>
    <s v="NY"/>
    <s v="NY"/>
    <x v="0"/>
    <x v="0"/>
    <x v="0"/>
  </r>
  <r>
    <n v="91"/>
    <s v="Nguyễn thị dung"/>
    <s v="nhà thuốc ngọc thanh"/>
    <s v="0358411011"/>
    <s v="74 quang trung, P.Quang Trung,Hà Đông,Hà Nội"/>
    <s v="NY"/>
    <s v="NY"/>
    <s v="NY"/>
    <s v="NY"/>
    <x v="0"/>
    <x v="1"/>
    <x v="1"/>
  </r>
  <r>
    <n v="92"/>
    <s v="Lê thị giang"/>
    <s v="nhà thuốc 22"/>
    <s v="0968325991"/>
    <s v="184 phùng hưng, P.Phúc La,Hà Đông,Hà Nội"/>
    <s v="NY"/>
    <s v="NY"/>
    <s v="NY"/>
    <s v="NY"/>
    <x v="0"/>
    <x v="1"/>
    <x v="1"/>
  </r>
  <r>
    <n v="93"/>
    <s v="Nguyễn Thị Thanh Thúy"/>
    <s v="quầy Thanh Thúy (quầy 1196)"/>
    <s v="0982601483"/>
    <s v="8/10b, đường Huỳnh Văn Nghệ, P.Bửu Long,Biên Hòa,Đồng Nai"/>
    <s v="done"/>
    <s v="done"/>
    <s v="done"/>
    <s v="done"/>
    <x v="2"/>
    <x v="2"/>
    <x v="2"/>
  </r>
  <r>
    <n v="94"/>
    <s v="Cẩm Tú"/>
    <s v="Nhà thuốc Cẩm Tú"/>
    <s v="0913608415"/>
    <s v="69A Nguyễn Văn Linh, P.Mỹ Phước,Long Xuyên,An Giang"/>
    <s v="NY"/>
    <s v="NY"/>
    <s v="NY"/>
    <s v="NY"/>
    <x v="0"/>
    <x v="5"/>
    <x v="2"/>
  </r>
  <r>
    <n v="95"/>
    <s v="Trần Phương Thanh"/>
    <s v="nhà thuốc Thanh Tâm"/>
    <s v="0972629129"/>
    <s v="504 Minh Khai, P.Vĩnh Tuy,Hai Bà Trưng,Hà Nội"/>
    <s v="NY"/>
    <s v="NY"/>
    <s v="NY"/>
    <s v="NY"/>
    <x v="0"/>
    <x v="1"/>
    <x v="1"/>
  </r>
  <r>
    <n v="96"/>
    <s v="Đoàn thị bé"/>
    <s v="nt thư phát"/>
    <s v="0934031747"/>
    <s v="Huỳnh văn nghệ, P.Bửu Long,Biên Hòa,Đồng Nai"/>
    <s v="done"/>
    <s v="done"/>
    <s v="done"/>
    <s v="done"/>
    <x v="2"/>
    <x v="2"/>
    <x v="2"/>
  </r>
  <r>
    <n v="97"/>
    <s v="Nguyễn thị trang"/>
    <s v="nhà thuốc minh tiến"/>
    <s v="0982028315"/>
    <s v="5 nguyễn quý đức, P.Thanh Xuân Bắc,Thanh Xuân,Hà Nội"/>
    <s v="done"/>
    <s v="done"/>
    <s v="done"/>
    <s v="done"/>
    <x v="2"/>
    <x v="1"/>
    <x v="1"/>
  </r>
  <r>
    <n v="98"/>
    <s v="Nguyễn Thị An"/>
    <s v="Nhà Thuốc Tuệ Minh"/>
    <s v="03989999"/>
    <s v="278A Khương Trung, P.Khương Trung,Thanh Xuân,Hà Nội"/>
    <s v="NY"/>
    <s v="NY"/>
    <s v="NY"/>
    <s v="NY"/>
    <x v="0"/>
    <x v="1"/>
    <x v="1"/>
  </r>
  <r>
    <n v="99"/>
    <s v="Lê Thị Ninh"/>
    <s v="nhà thuốc 25"/>
    <s v="0987074092"/>
    <s v="266 Lê Thanh Nghị, P.Đồng Tâm,Hai Bà Trưng,Hà Nội"/>
    <s v="done"/>
    <s v="done"/>
    <s v="done"/>
    <s v="done"/>
    <x v="2"/>
    <x v="1"/>
    <x v="1"/>
  </r>
  <r>
    <n v="100"/>
    <s v="Ngô Thị Thanh Tuyền"/>
    <s v="NHA THUOC HOANG HAI"/>
    <s v="0907469232"/>
    <s v="Cạnh 335B|1,KV 4,, P.An Khánh,Ninh Kiều,Cần Thơ"/>
    <s v="done"/>
    <s v="done"/>
    <s v="done"/>
    <s v="done"/>
    <x v="2"/>
    <x v="4"/>
    <x v="2"/>
  </r>
  <r>
    <n v="101"/>
    <s v="ho thi thanh"/>
    <s v="nt dong duong"/>
    <s v="0972116984"/>
    <s v="184 ngo quyen, P.Tân An,Buôn Ma Thuột,Đắk Lắk"/>
    <s v="NY"/>
    <s v="NY"/>
    <s v="NY"/>
    <s v="NY"/>
    <x v="0"/>
    <x v="3"/>
    <x v="2"/>
  </r>
  <r>
    <n v="102"/>
    <s v="Nguyễn Thị Hồng Phiến"/>
    <s v="Nhà thuốc Thanh Vân"/>
    <s v="0939650407"/>
    <s v="632 đường 30/4, P.Hưng Lợi,Ninh Kiều,Cần Thơ"/>
    <s v="done"/>
    <s v="done"/>
    <s v="done"/>
    <s v="done"/>
    <x v="2"/>
    <x v="4"/>
    <x v="2"/>
  </r>
  <r>
    <n v="103"/>
    <s v="NGO CHIEN"/>
    <s v="NT HUNG VUONG"/>
    <s v="0913711611"/>
    <s v="Kios A7, P.Tiên Cát,Việt Trì,Phú Thọ"/>
    <s v="NY"/>
    <s v="NY"/>
    <s v="NY"/>
    <s v="NY"/>
    <x v="0"/>
    <x v="9"/>
    <x v="3"/>
  </r>
  <r>
    <n v="104"/>
    <s v="Cao Thu Thảo"/>
    <s v="NT THU THẢO"/>
    <s v="0903189079"/>
    <s v="97T Trần Văn Đang, P.09,Quận 3,Hồ Chí Minh"/>
    <s v="done"/>
    <s v="done"/>
    <s v="NY"/>
    <s v="NY"/>
    <x v="3"/>
    <x v="0"/>
    <x v="0"/>
  </r>
  <r>
    <n v="105"/>
    <s v="Nguyen Thi Ngoc Tram"/>
    <s v="Nt Minh An"/>
    <s v="0839192727"/>
    <s v="254 phan chu trinh, P.Tân Lợi,Buôn Ma Thuột,Đắk Lắk"/>
    <s v="NY"/>
    <s v="NY"/>
    <s v="NY"/>
    <s v="NY"/>
    <x v="0"/>
    <x v="3"/>
    <x v="2"/>
  </r>
  <r>
    <n v="106"/>
    <s v="Đặng hữu trung"/>
    <s v="quay thuoc  thanh liem"/>
    <s v="0946062900"/>
    <s v="To 32 khu cau xeo, P.Long Thành,Long Thành,Đồng Nai"/>
    <s v="done"/>
    <s v="done"/>
    <s v="done"/>
    <s v="done"/>
    <x v="2"/>
    <x v="2"/>
    <x v="2"/>
  </r>
  <r>
    <n v="107"/>
    <s v="Nguyễn Thị Kim Ngân"/>
    <s v="Nt Gia vinh pharmacy"/>
    <s v="0938317098"/>
    <s v="B21 duong D4, kdc Him Lam, P.Tân Hưng,Quận 7,Hồ Chí Minh"/>
    <s v="NY"/>
    <s v="NY"/>
    <s v="NY"/>
    <s v="NY"/>
    <x v="0"/>
    <x v="0"/>
    <x v="0"/>
  </r>
  <r>
    <n v="108"/>
    <s v="Tăng Bá Thùy Trâm"/>
    <s v="Nhà Thuốc Khánh Đăng"/>
    <s v="0906930651"/>
    <s v="134 Cách Mạng Tháng Tám, P.Bình Thủy,Bình Thuỷ,Cần Thơ"/>
    <s v="done"/>
    <s v="done"/>
    <s v="done"/>
    <s v="done"/>
    <x v="2"/>
    <x v="4"/>
    <x v="2"/>
  </r>
  <r>
    <n v="109"/>
    <s v="nguyen văn thu"/>
    <s v="nt thanh huyen"/>
    <s v="0983916599"/>
    <s v="71 vũ trọng phụng, P.Thanh Xuân Trung,Thanh Xuân,Hà Nội"/>
    <s v="NY"/>
    <s v="NY"/>
    <s v="NY"/>
    <s v="NY"/>
    <x v="0"/>
    <x v="1"/>
    <x v="1"/>
  </r>
  <r>
    <n v="110"/>
    <s v="Nguyễn Thị Kiều Oanh"/>
    <s v="Nhà thuốc Thanh Sơn"/>
    <s v="0945597862"/>
    <s v="213 Nguyễn Văn Cừ, P.An Bình,Ninh Kiều,Cần Thơ"/>
    <s v="done"/>
    <s v="done"/>
    <s v="done"/>
    <s v="done"/>
    <x v="2"/>
    <x v="4"/>
    <x v="2"/>
  </r>
  <r>
    <n v="111"/>
    <s v="nguyễn thị thùy"/>
    <s v="nhà thuốc ngọc cầm"/>
    <s v="0337577285"/>
    <s v="số 48 đường cầu giấy, P.Quan Hoa,Cầu Giấy,Hà Nội"/>
    <s v="NY"/>
    <s v="NY"/>
    <s v="NY"/>
    <s v="NY"/>
    <x v="0"/>
    <x v="1"/>
    <x v="1"/>
  </r>
  <r>
    <n v="112"/>
    <s v="Đào Mỹ Xuân"/>
    <s v="NT Long Châu 2"/>
    <s v="0773455216"/>
    <s v="399 Hai Bà Trưng - P.8, P.Vĩnh Hoà,Nha Trang,Khánh Hòa"/>
    <s v="done"/>
    <s v="NY"/>
    <s v="NY"/>
    <s v="NY"/>
    <x v="1"/>
    <x v="8"/>
    <x v="2"/>
  </r>
  <r>
    <n v="113"/>
    <s v="Trương Thị Mỹ Hoa"/>
    <s v="nha thuoc Bích Huy"/>
    <s v="0377446330"/>
    <s v="65 Mã Mây, P.Hàng Buồm,Hoàn Kiếm,Hà Nội"/>
    <s v="done"/>
    <s v="done"/>
    <s v="done"/>
    <s v="done"/>
    <x v="2"/>
    <x v="1"/>
    <x v="1"/>
  </r>
  <r>
    <n v="114"/>
    <s v="Nguyễn thanh vân"/>
    <s v="Nhà thuốc Vạn Phúc"/>
    <s v="0972686339"/>
    <s v="Số 124 ngõ 166 kim mã, P.Kim Mã,Ba Đình,Hà Nội"/>
    <s v="NY"/>
    <s v="NY"/>
    <s v="NY"/>
    <s v="NY"/>
    <x v="0"/>
    <x v="1"/>
    <x v="1"/>
  </r>
  <r>
    <n v="115"/>
    <s v="Tạ Văn Biên"/>
    <s v="Nhà Thuốc Việt Hùng"/>
    <s v="0973701339"/>
    <s v="Kiot7  CT4A KDT Xa La, P.Phúc La,Hà Đông,Hà Nội"/>
    <s v="done"/>
    <s v="NY"/>
    <s v="NY"/>
    <s v="NY"/>
    <x v="1"/>
    <x v="1"/>
    <x v="1"/>
  </r>
  <r>
    <n v="116"/>
    <s v="Nguyễn Thị Hà"/>
    <s v="Nhà Thuốc 37"/>
    <s v="0972505200"/>
    <s v="Số 4 Đường Lê Văn Hưu, P.Trường Thi,Vinh,Nghệ An"/>
    <s v="NY"/>
    <s v="NY"/>
    <s v="NY"/>
    <s v="NY"/>
    <x v="0"/>
    <x v="10"/>
    <x v="3"/>
  </r>
  <r>
    <n v="117"/>
    <s v="Nguyễn Hương Thảo"/>
    <s v="Nhà thuốc số 6 Trương Định"/>
    <s v="0961729669"/>
    <s v="Số 6 Trương Định, P.Trương Định,Hai Bà Trưng,Hà Nội"/>
    <s v="done"/>
    <s v="done"/>
    <s v="done"/>
    <s v="done"/>
    <x v="2"/>
    <x v="1"/>
    <x v="1"/>
  </r>
  <r>
    <n v="118"/>
    <s v="Nguyễn trần thuỷ tiên"/>
    <s v="nhà thuốc thiện chí"/>
    <s v="093566800"/>
    <s v="19A đường 2/4, P.Vĩnh Phước,Nha Trang,Khánh Hòa"/>
    <s v="NY"/>
    <s v="NY"/>
    <s v="NY"/>
    <s v="NY"/>
    <x v="0"/>
    <x v="8"/>
    <x v="2"/>
  </r>
  <r>
    <n v="119"/>
    <s v="Dương Thị Đào"/>
    <s v="nhà thuốc tư nhân thành công 2"/>
    <s v="0354399713"/>
    <s v="số 28,phố trung hòa,tổ 18,phường trung hòa, P.Trung Hoà,Cầu Giấy,Hà Nội"/>
    <s v="done"/>
    <s v="done"/>
    <s v="done"/>
    <s v="done"/>
    <x v="2"/>
    <x v="1"/>
    <x v="1"/>
  </r>
  <r>
    <n v="120"/>
    <s v="Nguyễn Thị Phương Mai"/>
    <s v="Nhà thuốc Phi 5"/>
    <s v="0911386688"/>
    <s v="77 Nguyễn Hữu Huân, P.Lý Thái Tổ,Hoàn Kiếm,Hà Nội"/>
    <s v="NY"/>
    <s v="NY"/>
    <s v="NY"/>
    <s v="NY"/>
    <x v="0"/>
    <x v="1"/>
    <x v="1"/>
  </r>
  <r>
    <n v="121"/>
    <s v="Vũ Thành A Uy"/>
    <s v="NT Uy Vũ"/>
    <s v="0906870767"/>
    <s v="265/31 Phạm Ngũ Lão. , P.Phạm Ngũ Lão,Quận 1,Hồ Chí Minh"/>
    <s v="NY"/>
    <s v="NY"/>
    <s v="NY"/>
    <s v="NY"/>
    <x v="0"/>
    <x v="0"/>
    <x v="0"/>
  </r>
  <r>
    <n v="122"/>
    <s v="Nguyễn Thị Thuỳ Vân"/>
    <s v="NHÀ THUỐC THANH BÌNH"/>
    <s v="0395934439"/>
    <s v="484 Nguyễn Thái Sơn, P.05,Gò Vấp,Hồ Chí Minh"/>
    <s v="NY"/>
    <s v="done"/>
    <s v="done"/>
    <s v="done"/>
    <x v="4"/>
    <x v="0"/>
    <x v="0"/>
  </r>
  <r>
    <n v="123"/>
    <s v="Le thi giang Thanh"/>
    <s v="nha thuoc 77 "/>
    <s v="0903629968"/>
    <s v="91 duong 18 phuoc binh quan 9, P.Phước Bình,Quận 9,Hồ Chí Minh"/>
    <s v="NY"/>
    <s v="NY"/>
    <s v="NY"/>
    <s v="NY"/>
    <x v="0"/>
    <x v="0"/>
    <x v="0"/>
  </r>
  <r>
    <n v="124"/>
    <s v="Lê Thị Thương"/>
    <s v="nhà thuốc bình an"/>
    <s v="0966002600"/>
    <s v="56 hàng hòm , P.Hàng Gai,Hoàn Kiếm,Hà Nội"/>
    <s v="NY"/>
    <s v="NY"/>
    <s v="NY"/>
    <s v="NY"/>
    <x v="0"/>
    <x v="1"/>
    <x v="1"/>
  </r>
  <r>
    <n v="125"/>
    <s v="42241"/>
    <s v="QUAY THUOC MINH HUNG"/>
    <s v="0905081777"/>
    <s v="CAY SO 5, VINH THANH, NHA TRANG, P.Vĩnh Thạnh,Nha Trang,Khánh Hòa"/>
    <s v="done"/>
    <s v="done"/>
    <s v="done"/>
    <s v="done"/>
    <x v="2"/>
    <x v="8"/>
    <x v="2"/>
  </r>
  <r>
    <n v="126"/>
    <s v="Đỗ Thị Thu Hằng"/>
    <s v="nhà thuốc Thanh Minh"/>
    <s v="00973378880"/>
    <s v="14 Trần Nhân Tông, P.Nguyễn Du,Hai Bà Trưng,Hà Nội"/>
    <s v="done"/>
    <s v="NY"/>
    <s v="NY"/>
    <s v="NY"/>
    <x v="1"/>
    <x v="1"/>
    <x v="1"/>
  </r>
  <r>
    <n v="127"/>
    <s v="phạm Thị Sắc"/>
    <s v="nt ds le thi trà giang"/>
    <s v="0335720009"/>
    <s v="626 Minh Khai, P.Vĩnh Tuy,Hai Bà Trưng,Hà Nội"/>
    <s v="done"/>
    <s v="done"/>
    <s v="done"/>
    <s v="done"/>
    <x v="2"/>
    <x v="1"/>
    <x v="1"/>
  </r>
  <r>
    <n v="128"/>
    <s v="Phạm Huỳnh Phương Thảo"/>
    <s v="NT Tâm Phúc"/>
    <s v="0941600819"/>
    <s v="152-154 đường B21, Khu dân cư 91B, An Khánh, Ninh Kiều, thành phố Cần Thơ, P.An Khánh,Ninh Kiều,Cần Thơ"/>
    <s v="done"/>
    <s v="done"/>
    <s v="done"/>
    <s v="done"/>
    <x v="2"/>
    <x v="4"/>
    <x v="2"/>
  </r>
  <r>
    <n v="129"/>
    <s v="Bùi Thị Nhật"/>
    <s v="nhà thuốc phương chính"/>
    <s v="0918969893"/>
    <s v="169 Mai Hắc Đế, P.Lê Đại Hành,Hai Bà Trưng,Hà Nội"/>
    <s v="NY"/>
    <s v="NY"/>
    <s v="NY"/>
    <s v="NY"/>
    <x v="0"/>
    <x v="1"/>
    <x v="1"/>
  </r>
  <r>
    <n v="130"/>
    <s v="Nguyễn thị Mai"/>
    <s v="nhà thuốc phong thu"/>
    <s v="0795095678"/>
    <s v="253 phùng hưng, P.Phú La,Hà Đông,Hà Nội"/>
    <s v="NY"/>
    <s v="NY"/>
    <s v="NY"/>
    <s v="NY"/>
    <x v="0"/>
    <x v="1"/>
    <x v="1"/>
  </r>
  <r>
    <n v="131"/>
    <s v="LỤC THỊ MAI"/>
    <s v="nha thuoc do thi thanh thuy"/>
    <s v="0978588243"/>
    <s v="23 mai dịch, P.Mai Dịch,Cầu Giấy,Hà Nội"/>
    <s v="NY"/>
    <s v="NY"/>
    <s v="NY"/>
    <s v="NY"/>
    <x v="0"/>
    <x v="1"/>
    <x v="1"/>
  </r>
  <r>
    <n v="132"/>
    <s v="le thanh tam"/>
    <s v="NT THIEN PHUOC "/>
    <s v="0913111705"/>
    <s v="187 VO THANH TRANG, P.02,Tân Bình,Hồ Chí Minh"/>
    <s v="NY"/>
    <s v="NY"/>
    <s v="NY"/>
    <s v="NY"/>
    <x v="0"/>
    <x v="0"/>
    <x v="0"/>
  </r>
  <r>
    <n v="133"/>
    <s v="Lăng thị kim dung"/>
    <s v="nhà thuốc trường giang"/>
    <s v="0333433903"/>
    <s v="23 phố Minh Lang, P.Tiên Cát,Việt Trì,Phú Thọ"/>
    <s v="NY"/>
    <s v="NY"/>
    <s v="NY"/>
    <s v="NY"/>
    <x v="0"/>
    <x v="9"/>
    <x v="3"/>
  </r>
  <r>
    <n v="134"/>
    <s v="Mai thuý hằng"/>
    <s v="thành huyền"/>
    <s v="0977166995"/>
    <s v="44 tuệ tĩnh, P.Hưng Dũng,Vinh,Nghệ An"/>
    <s v="NY"/>
    <s v="NY"/>
    <s v="NY"/>
    <s v="NY"/>
    <x v="0"/>
    <x v="10"/>
    <x v="3"/>
  </r>
  <r>
    <n v="135"/>
    <s v="Trần Ngọc Châu"/>
    <s v="NHA THUOC CAM TU"/>
    <s v="0903105155"/>
    <s v="19 HO BA KIEN, PHUONG 15, P.15,Quận 10,Hồ Chí Minh"/>
    <s v="done"/>
    <s v="done"/>
    <s v="done"/>
    <s v="done"/>
    <x v="2"/>
    <x v="0"/>
    <x v="0"/>
  </r>
  <r>
    <n v="136"/>
    <s v="Nguyễn thị nga"/>
    <s v="nhà thuốc minh tiến"/>
    <s v="0904209065"/>
    <s v="148 nguyễn xiển, P.Thanh Xuân Bắc,Thanh Xuân,Hà Nội"/>
    <s v="NY"/>
    <s v="NY"/>
    <s v="NY"/>
    <s v="NY"/>
    <x v="0"/>
    <x v="1"/>
    <x v="1"/>
  </r>
  <r>
    <n v="137"/>
    <s v="Đinh Thị Thu Thuỷ"/>
    <s v="NHA THUOC THU THUY"/>
    <s v="0902029096"/>
    <s v="317A TO 10- NGUYEN VAN LINH- P. AN KHANH, P.An Khánh,Ninh Kiều,Cần Thơ"/>
    <s v="done"/>
    <s v="done"/>
    <s v="done"/>
    <s v="done"/>
    <x v="2"/>
    <x v="4"/>
    <x v="2"/>
  </r>
  <r>
    <n v="138"/>
    <s v="Duong nu tuòng vy "/>
    <s v="nha thuoc phu tho "/>
    <s v="0906726308"/>
    <s v="98/12c vo thi sau , P.Quyết Thắng,Biên Hòa,Đồng Nai"/>
    <s v="done"/>
    <s v="done"/>
    <s v="done"/>
    <s v="done"/>
    <x v="2"/>
    <x v="2"/>
    <x v="2"/>
  </r>
  <r>
    <n v="139"/>
    <s v="Phạm thu hà"/>
    <s v="nhà thuốc 34"/>
    <s v="0987710394"/>
    <s v="Số 34 phố dương quảng hàm, P.Quan Hoa,Cầu Giấy,Hà Nội"/>
    <s v="NY"/>
    <s v="NY"/>
    <s v="NY"/>
    <s v="NY"/>
    <x v="0"/>
    <x v="1"/>
    <x v="1"/>
  </r>
  <r>
    <n v="140"/>
    <s v="Lâm Thị Thúy Loan"/>
    <s v="Nha thuoc Minh Thi 2"/>
    <s v="0945707337"/>
    <s v="27 Nguyễn Hiền, P.An Khánh,Ninh Kiều,Cần Thơ"/>
    <s v="done"/>
    <s v="done"/>
    <s v="done"/>
    <s v="done"/>
    <x v="2"/>
    <x v="4"/>
    <x v="2"/>
  </r>
  <r>
    <n v="141"/>
    <s v="Đinh thị quỳnh"/>
    <s v="nhà thuốc anh tuấn"/>
    <s v="0376121943"/>
    <s v="204 hồng mai, P.Quỳnh Lôi,Hai Bà Trưng,Hà Nội"/>
    <s v="NY"/>
    <s v="NY"/>
    <s v="NY"/>
    <s v="NY"/>
    <x v="0"/>
    <x v="1"/>
    <x v="1"/>
  </r>
  <r>
    <n v="142"/>
    <s v="Nguyễn Thị Kiêm"/>
    <s v="nha thuoc so 7"/>
    <s v="0907281808"/>
    <s v="50, P.Bến Nghé,Quận 1,Hồ Chí Minh"/>
    <s v="done"/>
    <s v="done"/>
    <s v="done"/>
    <s v="done"/>
    <x v="2"/>
    <x v="0"/>
    <x v="0"/>
  </r>
  <r>
    <n v="143"/>
    <s v="Linh"/>
    <s v="NT Bích Hà"/>
    <s v="0962527542"/>
    <s v="137 Trần Đình Xu, P Nguyễn Cư Trinh, P.Đống Mác,Hai Bà Trưng,Hà Nội"/>
    <s v="NY"/>
    <s v="NY"/>
    <s v="NY"/>
    <s v="NY"/>
    <x v="0"/>
    <x v="1"/>
    <x v="1"/>
  </r>
  <r>
    <n v="144"/>
    <s v="Vũ Thu Trang"/>
    <s v="Nhà thuốc Thanh Tâm"/>
    <s v="0397266640"/>
    <s v="105/168 , P.Ngọc Khánh,Ba Đình,Hà Nội"/>
    <s v="done"/>
    <s v="done"/>
    <s v="done"/>
    <s v="NY"/>
    <x v="4"/>
    <x v="1"/>
    <x v="1"/>
  </r>
  <r>
    <n v="145"/>
    <s v="Nguyễn Thị Liệu"/>
    <s v="Global Tiệp Tươi"/>
    <s v="0965983541"/>
    <s v="15b1, P.Thành Công,Ba Đình,Hà Nội"/>
    <s v="done"/>
    <s v="done"/>
    <s v="done"/>
    <s v="done"/>
    <x v="2"/>
    <x v="1"/>
    <x v="1"/>
  </r>
  <r>
    <n v="146"/>
    <s v="Nguyen Quoc Phong"/>
    <s v="qt so 26"/>
    <s v="0943035757"/>
    <s v="208 ymoan, P.Tân Lợi,Buôn Ma Thuột,Đắk Lắk"/>
    <s v="done"/>
    <s v="done"/>
    <s v="done"/>
    <s v="done"/>
    <x v="2"/>
    <x v="3"/>
    <x v="2"/>
  </r>
  <r>
    <n v="147"/>
    <s v="Nguyễn Thị Thúy Liễu"/>
    <s v="NT Trung Hậu"/>
    <s v="0984333394"/>
    <s v="807, Hà Hoàng Hổ, P.Đông Xuyên,Long Xuyên,An Giang"/>
    <s v="NY"/>
    <s v="NY"/>
    <s v="NY"/>
    <s v="NY"/>
    <x v="0"/>
    <x v="5"/>
    <x v="2"/>
  </r>
  <r>
    <n v="148"/>
    <s v="Nguyễn thị hằng"/>
    <s v="nhà thuốc phương trang"/>
    <s v="02623812452"/>
    <s v="01 lý thường kiệt, P.Tân Tiến,Buôn Ma Thuột,Đắk Lắk"/>
    <s v="done"/>
    <s v="done"/>
    <s v="done"/>
    <s v="done"/>
    <x v="2"/>
    <x v="3"/>
    <x v="2"/>
  </r>
  <r>
    <n v="149"/>
    <s v="Nguyen thi thu hằng"/>
    <s v="nt thu hằng"/>
    <s v="0855005599"/>
    <s v="Thành thái, P.Bình Khánh,Long Xuyên,An Giang"/>
    <s v="done"/>
    <s v="NY"/>
    <s v="NY"/>
    <s v="NY"/>
    <x v="1"/>
    <x v="5"/>
    <x v="2"/>
  </r>
  <r>
    <n v="150"/>
    <s v="Nguyễn thị hương"/>
    <s v="nhà thuốc 09 khánh hương"/>
    <s v="0904712968"/>
    <s v="144 phùng hưng, P.Phú La,Hà Đông,Hà Nội"/>
    <s v="NY"/>
    <s v="NY"/>
    <s v="NY"/>
    <s v="NY"/>
    <x v="0"/>
    <x v="1"/>
    <x v="1"/>
  </r>
  <r>
    <n v="151"/>
    <s v="nguyen thi hang nga"/>
    <s v="qt phu lam"/>
    <s v="0911276628"/>
    <s v="319 ha huy tap, P.Tân Lợi,Buôn Ma Thuột,Đắk Lắk"/>
    <s v="NY"/>
    <s v="NY"/>
    <s v="NY"/>
    <s v="NY"/>
    <x v="0"/>
    <x v="3"/>
    <x v="2"/>
  </r>
  <r>
    <n v="152"/>
    <s v="Nguyen ngoc thanh van"/>
    <s v="nt ngoc van"/>
    <s v="0914467890"/>
    <s v="131 hoang dieu, P.Thống Nhất,Buôn Ma Thuột,Đắk Lắk"/>
    <s v="done"/>
    <s v="NY"/>
    <s v="NY"/>
    <s v="NY"/>
    <x v="1"/>
    <x v="3"/>
    <x v="2"/>
  </r>
  <r>
    <n v="153"/>
    <s v="Nguyễn thị Hà"/>
    <s v="Nhà Thuốc Nguyễn Hà"/>
    <s v="0962448837"/>
    <s v="Tầng 1 số 116 tập thể Bệnh Viện  , P.Mai Dịch,Cầu Giấy,Hà Nội"/>
    <s v="NY"/>
    <s v="NY"/>
    <s v="NY"/>
    <s v="NY"/>
    <x v="0"/>
    <x v="1"/>
    <x v="1"/>
  </r>
  <r>
    <n v="154"/>
    <s v="Nguyễn Ngọc Ánh"/>
    <s v="Ngọc Ánh"/>
    <s v="0847643906"/>
    <s v="77 Hưng Đạo Vương, P.Quyết Thắng,Biên Hòa,Đồng Nai"/>
    <s v="done"/>
    <s v="NY"/>
    <s v="NY"/>
    <s v="NY"/>
    <x v="1"/>
    <x v="2"/>
    <x v="2"/>
  </r>
  <r>
    <n v="155"/>
    <s v="võ thị thanh tâm"/>
    <s v="NT xóm mới 2"/>
    <s v="0937914024"/>
    <s v="1050 lê đức thọ , P.13,Gò Vấp,Hồ Chí Minh"/>
    <s v="NY"/>
    <s v="NY"/>
    <s v="NY"/>
    <s v="NY"/>
    <x v="0"/>
    <x v="0"/>
    <x v="0"/>
  </r>
  <r>
    <n v="156"/>
    <s v="Nguyễn Thị Bích Phượng"/>
    <s v="Quầy thuốc Bích Phượng"/>
    <s v="0915559667"/>
    <s v="110,Tổ 9,kp 8, P.Vĩnh An,Vĩnh Cửu,Đồng Nai"/>
    <s v="done"/>
    <s v="done"/>
    <s v="done"/>
    <s v="NY"/>
    <x v="4"/>
    <x v="2"/>
    <x v="2"/>
  </r>
  <r>
    <n v="157"/>
    <s v="TRAN THI NGOC LOAN"/>
    <s v="nt phuong thành"/>
    <s v="0399667376"/>
    <s v="51, P.02,Quận 11,Hồ Chí Minh"/>
    <s v="NY"/>
    <s v="NY"/>
    <s v="done"/>
    <s v="done"/>
    <x v="3"/>
    <x v="0"/>
    <x v="0"/>
  </r>
  <r>
    <n v="158"/>
    <s v="Nguyễn Thị Tuyết Mai"/>
    <s v="Nhà Thuốc Song Mai"/>
    <s v="0988191992"/>
    <s v="520/14, Đông Hưng, Đông Xuyên, Tp. Long xuyên, An Giang, P.Đông Xuyên,Long Xuyên,An Giang"/>
    <s v="NY"/>
    <s v="NY"/>
    <s v="NY"/>
    <s v="NY"/>
    <x v="0"/>
    <x v="5"/>
    <x v="2"/>
  </r>
  <r>
    <n v="159"/>
    <s v="hoang anh"/>
    <s v="Nhà thuốc Xuân Hoà "/>
    <s v="0973242363"/>
    <s v="19 xóm bạch đằng , P.Vạn Phúc,Hà Đông,Hà Nội"/>
    <s v="NY"/>
    <s v="NY"/>
    <s v="NY"/>
    <s v="done"/>
    <x v="1"/>
    <x v="1"/>
    <x v="1"/>
  </r>
  <r>
    <n v="160"/>
    <s v="Trịnh Thị Thu Hà "/>
    <s v="nhà thuốc Hà Anh"/>
    <s v="0912075607"/>
    <s v="76 Bát Sứ, P.Hàng Bồ,Hoàn Kiếm,Hà Nội"/>
    <s v="done"/>
    <s v="done"/>
    <s v="done"/>
    <s v="done"/>
    <x v="2"/>
    <x v="1"/>
    <x v="1"/>
  </r>
  <r>
    <n v="161"/>
    <s v="ngô thu huyền"/>
    <s v="nhà thuốc tuệ minh"/>
    <s v="0932218006"/>
    <s v="L1 goldsilkcomplex van phúc, P.Nguyễn Trãi,Hà Đông,Hà Nội"/>
    <s v="NY"/>
    <s v="NY"/>
    <s v="NY"/>
    <s v="NY"/>
    <x v="0"/>
    <x v="1"/>
    <x v="1"/>
  </r>
  <r>
    <n v="162"/>
    <s v="Tô Thị Cúc"/>
    <s v="nha thuoc minh chinh 5"/>
    <s v="0904607465"/>
    <s v="36, P.Vân Canh,Hoài Đức,Hà Nội"/>
    <s v="done"/>
    <s v="NY"/>
    <s v="NY"/>
    <s v="NY"/>
    <x v="1"/>
    <x v="1"/>
    <x v="1"/>
  </r>
  <r>
    <n v="163"/>
    <s v="đỗ thị hải yến"/>
    <s v="nt 169 Hồng mai"/>
    <s v="0985733759"/>
    <s v="169 Hồng mai, P.Quỳnh Lôi,Hai Bà Trưng,Hà Nội"/>
    <s v="done"/>
    <s v="done"/>
    <s v="done"/>
    <s v="done"/>
    <x v="2"/>
    <x v="1"/>
    <x v="1"/>
  </r>
  <r>
    <n v="164"/>
    <s v="trần duy hưng"/>
    <s v="NT Hòa Bình"/>
    <s v="0938748038"/>
    <s v="104 y jut, P.Thắng Lợi,Buôn Ma Thuột,Đắk Lắk"/>
    <s v="done"/>
    <s v="NY"/>
    <s v="NY"/>
    <s v="NY"/>
    <x v="1"/>
    <x v="3"/>
    <x v="2"/>
  </r>
  <r>
    <n v="165"/>
    <s v="Nguyễn Thị Phượng"/>
    <s v="Test"/>
    <s v="0943969515"/>
    <s v="19, P.Văn Miếu,Đống Đa,Hà Nội"/>
    <s v="done"/>
    <s v="NY"/>
    <s v="NY"/>
    <s v="NY"/>
    <x v="1"/>
    <x v="1"/>
    <x v="1"/>
  </r>
  <r>
    <n v="166"/>
    <s v="Thái Thanh Trúc"/>
    <s v="NHA THUOC THANH THAO"/>
    <s v="0939434998"/>
    <s v="24/14 Trần Việt Châu, P.An Hòa,Ninh Kiều,Cần Thơ"/>
    <s v="done"/>
    <s v="done"/>
    <s v="done"/>
    <s v="done"/>
    <x v="2"/>
    <x v="4"/>
    <x v="2"/>
  </r>
  <r>
    <n v="167"/>
    <s v="Trần Thị Mỹ Thủy"/>
    <s v="Nhà thuốc Minh Tâm Thủy"/>
    <s v="0915484687"/>
    <s v="Phạm Văn Thuận, P.Tam Hiệp,Biên Hòa,Đồng Nai"/>
    <s v="done"/>
    <s v="done"/>
    <s v="done"/>
    <s v="done"/>
    <x v="2"/>
    <x v="2"/>
    <x v="2"/>
  </r>
  <r>
    <n v="168"/>
    <s v="lý thi thúy "/>
    <s v="quay thuoc 769"/>
    <s v="0387758349"/>
    <s v="tổ 6khu phố 1 phường long binh , P.Long Bình,Biên Hòa,Đồng Nai"/>
    <s v="done"/>
    <s v="done"/>
    <s v="NY"/>
    <s v="NY"/>
    <x v="3"/>
    <x v="2"/>
    <x v="2"/>
  </r>
  <r>
    <n v="169"/>
    <s v="Nguyễn Thị Ngân"/>
    <s v="Nhà Thuốc Phước Hải"/>
    <s v="0907270670"/>
    <s v="180 Nguyễn An Ninh, P.Tân An,Ninh Kiều,Cần Thơ"/>
    <s v="done"/>
    <s v="done"/>
    <s v="NY"/>
    <s v="NY"/>
    <x v="3"/>
    <x v="4"/>
    <x v="2"/>
  </r>
  <r>
    <n v="170"/>
    <s v="Ngô Thị Lương"/>
    <s v="Nhà thuốc lương phúc"/>
    <s v="0983611521"/>
    <s v="Số 11, ngõ 239 ( số 7/127) đường lạc long quân, P.Bưởi,Tây Hồ,Hà Nội"/>
    <s v="NY"/>
    <s v="NY"/>
    <s v="NY"/>
    <s v="NY"/>
    <x v="0"/>
    <x v="1"/>
    <x v="1"/>
  </r>
  <r>
    <n v="171"/>
    <s v="Nguyễn trần thuỷ tiên"/>
    <s v="nhà thuốc thiện chí"/>
    <s v="0935668000"/>
    <s v="19A đường 2/4, P.Vĩnh Phước,Nha Trang,Khánh Hòa"/>
    <s v="done"/>
    <s v="NY"/>
    <s v="NY"/>
    <s v="NY"/>
    <x v="1"/>
    <x v="8"/>
    <x v="2"/>
  </r>
  <r>
    <n v="172"/>
    <s v="Võ Thị Kim Xoan"/>
    <s v="NT Thiên Kim"/>
    <s v="0908525189"/>
    <s v="Q12- đường Nguyễn Hữu Hào, P.06,Quận 4,Hồ Chí Minh"/>
    <s v="NY"/>
    <s v="NY"/>
    <s v="NY"/>
    <s v="NY"/>
    <x v="0"/>
    <x v="0"/>
    <x v="0"/>
  </r>
  <r>
    <n v="173"/>
    <s v="Trần Văn Thực"/>
    <s v="nhà thuốc tư nhân"/>
    <s v="0912611187"/>
    <s v="135 trần quốc hoàn, P.Dịch Vọng Hậu,Cầu Giấy,Hà Nội"/>
    <s v="done"/>
    <s v="NY"/>
    <s v="NY"/>
    <s v="NY"/>
    <x v="1"/>
    <x v="1"/>
    <x v="1"/>
  </r>
  <r>
    <n v="174"/>
    <s v="Hà Thị Hạnh"/>
    <s v="abc"/>
    <s v="0984504506"/>
    <s v="12 Nguyễn Hiền, P.Văn Miếu,Đống Đa,Hà Nội"/>
    <s v="NY"/>
    <s v="NY"/>
    <s v="NY"/>
    <s v="NY"/>
    <x v="0"/>
    <x v="1"/>
    <x v="1"/>
  </r>
  <r>
    <n v="175"/>
    <s v="Mai Thi Hong "/>
    <s v="Nha Thuoc Hong Dao"/>
    <s v="0349045003"/>
    <s v="16 Đương sô 1 , P.Binh Hưng Hoà A,Bình Tân,Hồ Chí Minh"/>
    <s v="NY"/>
    <s v="NY"/>
    <s v="NY"/>
    <s v="NY"/>
    <x v="0"/>
    <x v="0"/>
    <x v="0"/>
  </r>
  <r>
    <n v="176"/>
    <s v="Thanh Nhàn"/>
    <s v="NHA THUOC NHAN TAM"/>
    <s v="0354858646"/>
    <s v="491 HUYNH TAN PHAT, PHUONG TAN THUAN DONG, P.Tân Thuận Đông,Quận 7,Hồ Chí Minh"/>
    <s v="NY"/>
    <s v="NY"/>
    <s v="NY"/>
    <s v="NY"/>
    <x v="0"/>
    <x v="0"/>
    <x v="0"/>
  </r>
  <r>
    <n v="177"/>
    <s v="Phạm Thị Bích Trâm"/>
    <s v="Nhà thuốc Khôi Vũ"/>
    <s v="0933455511"/>
    <s v="10/3B khu phố 11, P.Tân Hòa,Biên Hòa,Đồng Nai"/>
    <s v="done"/>
    <s v="NY"/>
    <s v="NY"/>
    <s v="NY"/>
    <x v="1"/>
    <x v="2"/>
    <x v="2"/>
  </r>
  <r>
    <n v="178"/>
    <s v="Lâm Thị Xuân Phương"/>
    <s v="NHA THUOC MINH KHÁNH"/>
    <s v="0917016518"/>
    <s v="84 Lê Lợi, P.Cái Khế,Ninh Kiều,Cần Thơ"/>
    <s v="NY"/>
    <s v="NY"/>
    <s v="NY"/>
    <s v="NY"/>
    <x v="0"/>
    <x v="4"/>
    <x v="2"/>
  </r>
  <r>
    <n v="179"/>
    <s v="Nguyen thi thu cat"/>
    <s v="qt so 3"/>
    <s v="0986271937"/>
    <s v="90 ly thuong kiet, P.Thắng Lợi,Buôn Ma Thuột,Đắk Lắk"/>
    <s v="NY"/>
    <s v="NY"/>
    <s v="NY"/>
    <s v="NY"/>
    <x v="0"/>
    <x v="3"/>
    <x v="2"/>
  </r>
  <r>
    <n v="180"/>
    <s v="phạm thị út hiền"/>
    <s v="quầy thuôc út hiền"/>
    <s v="0916542253"/>
    <s v="23 hòn nghê, P.Vĩnh Ngọc,Nha Trang,Khánh Hòa"/>
    <s v="done"/>
    <s v="done"/>
    <s v="done"/>
    <s v="done"/>
    <x v="2"/>
    <x v="8"/>
    <x v="2"/>
  </r>
  <r>
    <n v="181"/>
    <s v="Lê Thị Lệ Hoa"/>
    <s v="Nhà Thuốc Đức Tuấn "/>
    <s v="0933455433"/>
    <s v="92 Thành Thái , P.12,Quận 10,Hồ Chí Minh"/>
    <s v="NY"/>
    <s v="NY"/>
    <s v="NY"/>
    <s v="NY"/>
    <x v="0"/>
    <x v="0"/>
    <x v="0"/>
  </r>
  <r>
    <n v="182"/>
    <s v="tho"/>
    <s v="tho"/>
    <s v="0903883366"/>
    <s v="22, P.Cái Khế,Ninh Kiều,Cần Thơ"/>
    <s v="NY"/>
    <s v="NY"/>
    <s v="NY"/>
    <s v="NY"/>
    <x v="0"/>
    <x v="4"/>
    <x v="2"/>
  </r>
  <r>
    <n v="183"/>
    <s v="huỳnh thị kim Thoại "/>
    <s v="NT KIM CHÂU  23 HOÀNG  VAN THỤ "/>
    <s v="0967654885"/>
    <s v="23, P.04,Phú Nhuận,Hồ Chí Minh"/>
    <s v="NY"/>
    <s v="NY"/>
    <s v="NY"/>
    <s v="NY"/>
    <x v="0"/>
    <x v="0"/>
    <x v="0"/>
  </r>
  <r>
    <n v="184"/>
    <s v="Đoàn Thúy May"/>
    <s v="Tuệ May"/>
    <s v="0918585915"/>
    <s v="số 3, Nguyễn thành Đồng, P.Trảng Dài,Biên Hòa,Đồng Nai"/>
    <s v="NY"/>
    <s v="done"/>
    <s v="done"/>
    <s v="done"/>
    <x v="4"/>
    <x v="2"/>
    <x v="2"/>
  </r>
  <r>
    <n v="185"/>
    <s v="Dang Nu Tuyet Nhung"/>
    <s v="qt thai hoa"/>
    <s v="0905798397"/>
    <s v="319 ymoan, P.Tân Lập,Buôn Ma Thuột,Đắk Lắk"/>
    <s v="NY"/>
    <s v="NY"/>
    <s v="NY"/>
    <s v="NY"/>
    <x v="0"/>
    <x v="3"/>
    <x v="2"/>
  </r>
  <r>
    <n v="186"/>
    <s v="hồ hoàng liên"/>
    <s v="quầy thuốc hà linh 1"/>
    <s v="0909346986"/>
    <s v="tổ 2 thôn phú trung, P.Vĩnh Thạnh,Nha Trang,Khánh Hòa"/>
    <s v="done"/>
    <s v="NY"/>
    <s v="NY"/>
    <s v="NY"/>
    <x v="1"/>
    <x v="8"/>
    <x v="2"/>
  </r>
  <r>
    <n v="187"/>
    <s v="Tòng thanh Hoà"/>
    <s v="nhà thuốc Linh Anh"/>
    <s v="0865981065"/>
    <s v="104 Bạch Mai, P.Cầu Dền,Hai Bà Trưng,Hà Nội"/>
    <s v="NY"/>
    <s v="NY"/>
    <s v="NY"/>
    <s v="NY"/>
    <x v="0"/>
    <x v="1"/>
    <x v="1"/>
  </r>
  <r>
    <n v="188"/>
    <s v="Đỗ Ngọc Long"/>
    <s v="Nhà thuốc Thanh Tâm"/>
    <s v="0978650481"/>
    <s v="105/168, P.Ngọc Khánh,Ba Đình,Hà Nội"/>
    <s v="done"/>
    <s v="done"/>
    <s v="NY"/>
    <s v="NY"/>
    <x v="3"/>
    <x v="1"/>
    <x v="1"/>
  </r>
  <r>
    <n v="189"/>
    <s v="Nguyễn Thị Tiệp"/>
    <s v="Nhà thuốc Global Tiệp Tươi"/>
    <s v="0989868281"/>
    <s v="15b1, P.Thành Công,Ba Đình,Hà Nội"/>
    <s v="done"/>
    <s v="done"/>
    <s v="done"/>
    <s v="done"/>
    <x v="2"/>
    <x v="1"/>
    <x v="1"/>
  </r>
  <r>
    <n v="190"/>
    <s v="nguyễn văn quang"/>
    <s v="nhà thuốc số 1 ngân hà"/>
    <s v="0904010682"/>
    <s v="212 phùng hưng, P.Phúc La,Hà Đông,Hà Nội"/>
    <s v="done"/>
    <s v="done"/>
    <s v="done"/>
    <s v="NY"/>
    <x v="4"/>
    <x v="1"/>
    <x v="1"/>
  </r>
  <r>
    <n v="191"/>
    <s v="duong minh kha"/>
    <s v="nha thuoc hoang gia"/>
    <s v="0909759344"/>
    <s v="118a hoang hoa tham, P.07,Bình Thạnh,Hồ Chí Minh"/>
    <s v="NY"/>
    <s v="NY"/>
    <s v="done"/>
    <s v="NY"/>
    <x v="1"/>
    <x v="0"/>
    <x v="0"/>
  </r>
  <r>
    <n v="192"/>
    <s v="Nguyễn thị Hường"/>
    <s v="nhà thuốc sota"/>
    <s v="0375318796"/>
    <s v="số 3 phố hoa bằng,phường yên hòa, P.Yên Hoà,Cầu Giấy,Hà Nội"/>
    <s v="done"/>
    <s v="done"/>
    <s v="done"/>
    <s v="done"/>
    <x v="2"/>
    <x v="1"/>
    <x v="1"/>
  </r>
  <r>
    <n v="193"/>
    <s v="Đỗ Thu Hằng"/>
    <s v="nhà thuốc Thanh Minh"/>
    <s v="0973118980"/>
    <s v="14 Trần Nhân Tông, P.Nguyễn Du,Hai Bà Trưng,Hà Nội"/>
    <s v="done"/>
    <s v="NY"/>
    <s v="NY"/>
    <s v="NY"/>
    <x v="1"/>
    <x v="1"/>
    <x v="1"/>
  </r>
  <r>
    <n v="194"/>
    <s v="nguyễn thị linh"/>
    <s v="NT Quốc anh"/>
    <s v="0932225169"/>
    <s v="120 vũ trọng phụng, P.Hạ Đình,Thanh Xuân,Hà Nội"/>
    <s v="done"/>
    <s v="NY"/>
    <s v="NY"/>
    <s v="done"/>
    <x v="3"/>
    <x v="1"/>
    <x v="1"/>
  </r>
  <r>
    <n v="195"/>
    <s v="Nguyễn thị lý"/>
    <s v="nhà thuốc Tâm An"/>
    <s v="0988838375"/>
    <s v="Tang 1,so 145 tran dang ninh, P.Dịch Vọng,Cầu Giấy,Hà Nội"/>
    <s v="done"/>
    <s v="done"/>
    <s v="done"/>
    <s v="done"/>
    <x v="2"/>
    <x v="1"/>
    <x v="1"/>
  </r>
  <r>
    <n v="196"/>
    <s v="Duong thi Minh Tram"/>
    <s v="Phuong Loan"/>
    <s v="0937437748"/>
    <s v="247 cmt 8, P.Hòa Bình,Biên Hòa,Đồng Nai"/>
    <s v="done"/>
    <s v="NY"/>
    <s v="done"/>
    <s v="done"/>
    <x v="4"/>
    <x v="2"/>
    <x v="2"/>
  </r>
  <r>
    <n v="197"/>
    <s v="Phan Thị Ngọc Trinh"/>
    <s v="Nhà thuốc Thiên Kim"/>
    <s v="0939461806"/>
    <s v="21C Nguyễn Văn Linh, P.Hưng Lợi,Ninh Kiều,Cần Thơ"/>
    <s v="done"/>
    <s v="done"/>
    <s v="done"/>
    <s v="done"/>
    <x v="2"/>
    <x v="4"/>
    <x v="2"/>
  </r>
  <r>
    <n v="198"/>
    <s v="Nguyễn Thị Bích Ngọc"/>
    <s v="Nhà thuốc Tân Thanh Bình"/>
    <s v="0978346096"/>
    <s v="54 Quán sứ, P.Hàng Bông,Hoàn Kiếm,Hà Nội"/>
    <s v="NY"/>
    <s v="done"/>
    <s v="NY"/>
    <s v="NY"/>
    <x v="1"/>
    <x v="1"/>
    <x v="1"/>
  </r>
  <r>
    <n v="199"/>
    <s v="Trần Ngọc thanh lan "/>
    <s v="quay thuốc 1071"/>
    <s v="0948015846"/>
    <s v="325/A2 nguyen tri phương , P.Hiệp Hòa,Biên Hòa,Đồng Nai"/>
    <s v="done"/>
    <s v="NY"/>
    <s v="NY"/>
    <s v="done"/>
    <x v="3"/>
    <x v="2"/>
    <x v="2"/>
  </r>
  <r>
    <n v="200"/>
    <s v="Đỗ Thị Hòa"/>
    <s v="NT HOANG HAN"/>
    <s v="0969633703"/>
    <s v="92 VUON CHUOI, P.4, P.04,Quận 3,Hồ Chí Minh"/>
    <s v="NY"/>
    <s v="NY"/>
    <s v="NY"/>
    <s v="NY"/>
    <x v="0"/>
    <x v="0"/>
    <x v="0"/>
  </r>
  <r>
    <n v="201"/>
    <s v="MinhIT"/>
    <s v="Nha Thuoc Long Chau"/>
    <s v="0398267083"/>
    <s v="23/44 Au Co, P.05,Bình Thạnh,Hồ Chí Minh"/>
    <s v="done"/>
    <s v="NY"/>
    <s v="NY"/>
    <s v="NY"/>
    <x v="1"/>
    <x v="0"/>
    <x v="0"/>
  </r>
  <r>
    <n v="202"/>
    <s v="Lê Tự Chế"/>
    <s v="Nt  Trí Thiện 2"/>
    <s v="0903330673"/>
    <s v="79/22 Pham Viet Chanh, P.19,Bình Thạnh,Hồ Chí Minh"/>
    <s v="NY"/>
    <s v="NY"/>
    <s v="NY"/>
    <s v="NY"/>
    <x v="0"/>
    <x v="0"/>
    <x v="0"/>
  </r>
  <r>
    <n v="203"/>
    <s v="Đặng Võ Bạch Đào"/>
    <s v="nhà thuốc Bạch Đào"/>
    <s v="0834600462"/>
    <s v="tổ 5, kp 5, P.Long Bình,Biên Hòa,Đồng Nai"/>
    <s v="done"/>
    <s v="done"/>
    <s v="done"/>
    <s v="done"/>
    <x v="2"/>
    <x v="2"/>
    <x v="2"/>
  </r>
  <r>
    <n v="204"/>
    <s v="Nguyen Thi Hong"/>
    <s v="NT Ngân Châu"/>
    <s v="098959059"/>
    <s v="105 Duong 17, P.Tân Quy,Quận 7,Hồ Chí Minh"/>
    <s v="NY"/>
    <s v="NY"/>
    <s v="NY"/>
    <s v="NY"/>
    <x v="0"/>
    <x v="0"/>
    <x v="0"/>
  </r>
  <r>
    <n v="205"/>
    <s v="Nguyen Thi Bao Quynh"/>
    <s v="NT BAO QUYNH"/>
    <s v="0936226602"/>
    <s v="160 CMT8, P.10,Quận 3,Hồ Chí Minh"/>
    <s v="done"/>
    <s v="NY"/>
    <s v="NY"/>
    <s v="NY"/>
    <x v="1"/>
    <x v="0"/>
    <x v="0"/>
  </r>
  <r>
    <n v="206"/>
    <s v="nguyễn đặng bảo trân"/>
    <s v="NHA THUOC CONG THANG"/>
    <s v="02923821339"/>
    <s v="2 DUONG 18- KHU NCDT- KHU VUC 4- P. AN KHANH, P.An Khánh,Ninh Kiều,Cần Thơ"/>
    <s v="NY"/>
    <s v="NY"/>
    <s v="NY"/>
    <s v="NY"/>
    <x v="0"/>
    <x v="4"/>
    <x v="2"/>
  </r>
  <r>
    <n v="207"/>
    <s v="lê hà phượng"/>
    <s v="nhà thuốc hoàng phúc"/>
    <s v="0903590308"/>
    <s v="79 trần nhật duật, P.Phước Hòa,Nha Trang,Khánh Hòa"/>
    <s v="NY"/>
    <s v="NY"/>
    <s v="NY"/>
    <s v="NY"/>
    <x v="0"/>
    <x v="8"/>
    <x v="2"/>
  </r>
  <r>
    <n v="208"/>
    <s v="Trần Thị Lệ Thuỷ"/>
    <s v="NT Thuỷ Anh"/>
    <s v="0906779084"/>
    <s v="382 Nguyễn Văn Nghi, P.07,Gò Vấp,Hồ Chí Minh"/>
    <s v="done"/>
    <s v="done"/>
    <s v="done"/>
    <s v="done"/>
    <x v="2"/>
    <x v="0"/>
    <x v="0"/>
  </r>
  <r>
    <n v="209"/>
    <s v="Bùi Thị Diệu Quê"/>
    <s v="CONG TY CO PHAN TRUSTPHARM_NHA THUOC MINH ANH"/>
    <s v="0986417770"/>
    <s v="54/1 Hùng Vương, P.Thới Bình,Ninh Kiều,Cần Thơ"/>
    <s v="done"/>
    <s v="done"/>
    <s v="done"/>
    <s v="done"/>
    <x v="2"/>
    <x v="4"/>
    <x v="2"/>
  </r>
  <r>
    <n v="210"/>
    <s v="Nguyễn Thanh Danh"/>
    <s v="nha thuoc a"/>
    <s v="0978512759"/>
    <s v="duong a, P.Quán Toan, Hồng Bàng, Hải Phòng"/>
    <s v="NY"/>
    <s v="NY"/>
    <s v="NY"/>
    <s v="NY"/>
    <x v="0"/>
    <x v="12"/>
    <x v="3"/>
  </r>
  <r>
    <n v="211"/>
    <s v="Võ Thị Kim Hồng"/>
    <s v="Nhà thuốc Hồng Kim"/>
    <s v="0902645841"/>
    <s v="86 Lê Hồng Phong, P.Trà Nóc,Bình Thuỷ,Cần Thơ"/>
    <s v="done"/>
    <s v="done"/>
    <s v="done"/>
    <s v="done"/>
    <x v="2"/>
    <x v="4"/>
    <x v="2"/>
  </r>
  <r>
    <n v="212"/>
    <s v="Nguyễn thị hoà"/>
    <s v="nhà thuốc minh hoà "/>
    <s v="0987631684"/>
    <s v="72 thanh bình, P.Mộ Lao,Hà Đông,Hà Nội"/>
    <s v="NY"/>
    <s v="done"/>
    <s v="done"/>
    <s v="NY"/>
    <x v="3"/>
    <x v="1"/>
    <x v="1"/>
  </r>
  <r>
    <n v="213"/>
    <s v="Nguyễn Thị Trang"/>
    <s v="nha thuoc anh đạt 1"/>
    <s v="0845126333"/>
    <s v="158/34 Vĩnh Tuy, P.Vĩnh Tuy,Hai Bà Trưng,Hà Nội"/>
    <s v="NY"/>
    <s v="NY"/>
    <s v="NY"/>
    <s v="NY"/>
    <x v="0"/>
    <x v="1"/>
    <x v="1"/>
  </r>
  <r>
    <n v="214"/>
    <s v="Đặng thu Lan"/>
    <s v="nhà thuốc thu lan"/>
    <s v="0974591500"/>
    <s v="212 trần quý cáp, P.Ninh Hòa,Ninh Hòa,Khánh Hòa"/>
    <s v="done"/>
    <s v="NY"/>
    <s v="NY"/>
    <s v="NY"/>
    <x v="1"/>
    <x v="8"/>
    <x v="2"/>
  </r>
  <r>
    <n v="215"/>
    <s v="C Hà"/>
    <s v="nhà thuốc Thái Hà"/>
    <s v="0969543442"/>
    <s v="82 lo đúc, P.Ngô Thì Nhậm,Hai Bà Trưng,Hà Nội"/>
    <s v="done"/>
    <s v="done"/>
    <s v="done"/>
    <s v="done"/>
    <x v="2"/>
    <x v="1"/>
    <x v="1"/>
  </r>
  <r>
    <n v="216"/>
    <s v="THÂN THỊ ANH ĐÀO"/>
    <s v="Nhà Thuốc Mai Uyên"/>
    <s v="0988416744"/>
    <s v="122 Lê Đức Thọ, P. 6,Gò Vấp,Hồ Chí Minh"/>
    <s v="NY"/>
    <s v="NY"/>
    <s v="NY"/>
    <s v="NY"/>
    <x v="0"/>
    <x v="0"/>
    <x v="0"/>
  </r>
  <r>
    <n v="217"/>
    <s v="lê hồng thuật"/>
    <s v="qt 06"/>
    <s v="0914056363"/>
    <s v="199 y moan, P.Tân Lợi,Buôn Ma Thuột,Đắk Lắk"/>
    <s v="NY"/>
    <s v="NY"/>
    <s v="done"/>
    <s v="done"/>
    <x v="3"/>
    <x v="3"/>
    <x v="2"/>
  </r>
  <r>
    <n v="218"/>
    <s v="NGUYEN HONG LUYEN"/>
    <s v="NT NGOC HAN"/>
    <s v="0919980608"/>
    <s v="68 cau giay, P.Quan Hoa,Cầu Giấy,Hà Nội"/>
    <s v="NY"/>
    <s v="NY"/>
    <s v="done"/>
    <s v="done"/>
    <x v="3"/>
    <x v="1"/>
    <x v="1"/>
  </r>
  <r>
    <n v="219"/>
    <s v="Tran minh Tung "/>
    <s v="Quay Thuoc 278"/>
    <s v="0329896636"/>
    <s v="17 ,ap 3 xa Tam An , P.Long Thành,Long Thành,Đồng Nai"/>
    <s v="done"/>
    <s v="done"/>
    <s v="done"/>
    <s v="done"/>
    <x v="2"/>
    <x v="2"/>
    <x v="2"/>
  </r>
  <r>
    <n v="220"/>
    <s v="Đinh thị tuyết"/>
    <s v="nhà thuốc 60 hoàng văn thái"/>
    <s v="0986675997"/>
    <s v="60 hoàng văn thái, P.Khương Đình,Thanh Xuân,Hà Nội"/>
    <s v="NY"/>
    <s v="NY"/>
    <s v="NY"/>
    <s v="NY"/>
    <x v="0"/>
    <x v="1"/>
    <x v="1"/>
  </r>
  <r>
    <n v="221"/>
    <s v="Thủy"/>
    <s v="Thủy"/>
    <s v="0906726414"/>
    <s v="24 D52, P.12,Tân Bình,Hồ Chí Minh"/>
    <s v="NY"/>
    <s v="NY"/>
    <s v="NY"/>
    <s v="NY"/>
    <x v="0"/>
    <x v="0"/>
    <x v="0"/>
  </r>
  <r>
    <n v="222"/>
    <s v="Lê Thị Lê Thu"/>
    <s v="NT Hai Binh"/>
    <s v="0961638062"/>
    <s v="18 lo A chung cu 43, P.09,Phú Nhuận,Hồ Chí Minh"/>
    <s v="NY"/>
    <s v="NY"/>
    <s v="NY"/>
    <s v="NY"/>
    <x v="0"/>
    <x v="0"/>
    <x v="0"/>
  </r>
  <r>
    <n v="223"/>
    <s v="quynh"/>
    <s v="nhà thuốc đức hồng 2 "/>
    <s v="0333318597"/>
    <s v="9 liền kề 6A mỗ lao, P.Nguyễn Trãi,Hà Đông,Hà Nội"/>
    <s v="NY"/>
    <s v="NY"/>
    <s v="NY"/>
    <s v="NY"/>
    <x v="0"/>
    <x v="1"/>
    <x v="1"/>
  </r>
  <r>
    <n v="224"/>
    <s v="Nguyễn Thị Vân Lan"/>
    <s v="Tâm Lan"/>
    <s v="0903164060"/>
    <s v="03 Đào Duy Anh, P.09,Phú Nhuận,Hồ Chí Minh"/>
    <s v="NY"/>
    <s v="NY"/>
    <s v="NY"/>
    <s v="NY"/>
    <x v="0"/>
    <x v="0"/>
    <x v="0"/>
  </r>
  <r>
    <n v="225"/>
    <s v="Nguyen ngoc phuong Oanh"/>
    <s v="NT BINH MINH"/>
    <s v="0905414131"/>
    <s v="133 dien bien phu, P.Thống Nhất,Buôn Ma Thuột,Đắk Lắk"/>
    <s v="NY"/>
    <s v="NY"/>
    <s v="NY"/>
    <s v="NY"/>
    <x v="0"/>
    <x v="3"/>
    <x v="2"/>
  </r>
  <r>
    <n v="226"/>
    <s v="Phan Thanh Thuy Tiên "/>
    <s v="nha thuoc Tôt"/>
    <s v="0908561888"/>
    <s v="39 Nguyên Huy Tu , P.Tân Định,Quận 1,Hồ Chí Minh"/>
    <s v="NY"/>
    <s v="done"/>
    <s v="done"/>
    <s v="done"/>
    <x v="4"/>
    <x v="0"/>
    <x v="0"/>
  </r>
  <r>
    <n v="227"/>
    <s v="Nguyễn Thị kim sa"/>
    <s v="hieu thuoc số 5"/>
    <s v="0903654399"/>
    <s v="51F nguyễn du, P.Bến Nghé,Quận 1,Hồ Chí Minh"/>
    <s v="NY"/>
    <s v="NY"/>
    <s v="NY"/>
    <s v="NY"/>
    <x v="0"/>
    <x v="0"/>
    <x v="0"/>
  </r>
  <r>
    <n v="228"/>
    <s v="Mai Thị Hồng"/>
    <s v="NT Hồng đào"/>
    <s v="0973564949"/>
    <s v="171 Bình Phú - P.11, P.14,Quận 6,Hồ Chí Minh"/>
    <s v="NY"/>
    <s v="NY"/>
    <s v="NY"/>
    <s v="NY"/>
    <x v="0"/>
    <x v="0"/>
    <x v="0"/>
  </r>
  <r>
    <n v="229"/>
    <s v="PHAN THỊ THU ĐÔNG"/>
    <s v="nt BẢO CHÂU"/>
    <s v="0379451595"/>
    <s v="Bà Hạt 436, P.08,Quận 10,Hồ Chí Minh"/>
    <s v="done"/>
    <s v="done"/>
    <s v="done"/>
    <s v="NY"/>
    <x v="4"/>
    <x v="0"/>
    <x v="0"/>
  </r>
  <r>
    <n v="230"/>
    <s v="truong hai"/>
    <s v="hai"/>
    <s v="0917715114"/>
    <s v="02, P.Mỹ Bình,Long Xuyên,An Giang"/>
    <s v="NY"/>
    <s v="NY"/>
    <s v="NY"/>
    <s v="NY"/>
    <x v="0"/>
    <x v="5"/>
    <x v="2"/>
  </r>
  <r>
    <n v="231"/>
    <s v="Nguyễn Thị Quỳnh"/>
    <s v="Nhà thuốc tư nhân  Nguyễn Thị Vũ Thành"/>
    <s v="0974641909"/>
    <s v="106h4, P.Thành Công,Ba Đình,Hà Nội"/>
    <s v="done"/>
    <s v="done"/>
    <s v="done"/>
    <s v="done"/>
    <x v="2"/>
    <x v="1"/>
    <x v="1"/>
  </r>
  <r>
    <n v="232"/>
    <s v="Nguyễn Thị Mỹ Diệu"/>
    <s v="NT Phúc Nguyên"/>
    <s v="0908500860"/>
    <s v="1G Văn Cao, P.Tây Thạnh,Tân Phú,Hồ Chí Minh"/>
    <s v="done"/>
    <s v="done"/>
    <s v="done"/>
    <s v="done"/>
    <x v="2"/>
    <x v="0"/>
    <x v="0"/>
  </r>
  <r>
    <n v="233"/>
    <s v="Nguyễn thị mỹ dung"/>
    <s v="Nhà thuốc trường minh"/>
    <s v="0943754107"/>
    <s v="291 lê văn sỹ tân bình, P.02, Tân Bình, Hồ Chí Minh"/>
    <s v="NY"/>
    <s v="NY"/>
    <s v="NY"/>
    <s v="NY"/>
    <x v="0"/>
    <x v="0"/>
    <x v="0"/>
  </r>
  <r>
    <n v="234"/>
    <s v="Trần Thị Liên Châu"/>
    <s v="2000 Liên Châu"/>
    <s v="0779719086"/>
    <s v="Phạm Văn Thuận/90/1 khu phố 3, P.Tam Hiệp,Biên Hòa,Đồng Nai"/>
    <s v="done"/>
    <s v="done"/>
    <s v="NY"/>
    <s v="done"/>
    <x v="4"/>
    <x v="2"/>
    <x v="2"/>
  </r>
  <r>
    <n v="235"/>
    <s v="Nguyễn Thị Lan Hương"/>
    <s v="Hiếu Hiền"/>
    <s v="0932282066"/>
    <s v="57 tân ấp, P.Phúc Xá,Ba Đình,Hà Nội"/>
    <s v="done"/>
    <s v="done"/>
    <s v="NY"/>
    <s v="done"/>
    <x v="4"/>
    <x v="1"/>
    <x v="1"/>
  </r>
  <r>
    <n v="236"/>
    <s v="Huynh thi thanh nguyen"/>
    <s v="QUAY THUOC SO 1"/>
    <s v="0949325551"/>
    <s v="K3/242D Bui Huu Nghia BH-ĐN, P.Bửu Hòa,Biên Hòa,Đồng Nai"/>
    <s v="done"/>
    <s v="done"/>
    <s v="done"/>
    <s v="done"/>
    <x v="2"/>
    <x v="2"/>
    <x v="2"/>
  </r>
  <r>
    <n v="237"/>
    <s v="Mai Huy Hiệu"/>
    <s v="Nhà thuốc nghĩa hưng"/>
    <s v="0838447748"/>
    <s v="484 bạch mai, P.Trương Định,Hai Bà Trưng,Hà Nội"/>
    <s v="done"/>
    <s v="done"/>
    <s v="done"/>
    <s v="done"/>
    <x v="2"/>
    <x v="1"/>
    <x v="1"/>
  </r>
  <r>
    <n v="238"/>
    <s v="Ngô Thị Ngọc Tâm"/>
    <s v="NHÀ THUỐC VÂN ANH"/>
    <s v="0937235453"/>
    <s v="230 Đường Hồ Văn Tắng, Ấp Phú Lợi, Xã Tân Phú Trung, Củ Chi, P.Tân Phú Trung,Củ Chi,Hồ Chí Minh"/>
    <s v="NY"/>
    <s v="NY"/>
    <s v="NY"/>
    <s v="NY"/>
    <x v="0"/>
    <x v="0"/>
    <x v="0"/>
  </r>
  <r>
    <n v="239"/>
    <s v="nguyen thi thu thao"/>
    <s v="nt thanh nhan"/>
    <s v="0989161768"/>
    <s v="148 nguyen thi minh khai, P.Tân Lợi,Buôn Ma Thuột,Đắk Lắk"/>
    <s v="NY"/>
    <s v="NY"/>
    <s v="NY"/>
    <s v="NY"/>
    <x v="0"/>
    <x v="3"/>
    <x v="2"/>
  </r>
  <r>
    <n v="240"/>
    <s v="Đoàn Thị Bé "/>
    <s v="Nhà Thuốc Thư Phát"/>
    <s v="0366813637"/>
    <s v="191 Huỳnh Văn Nghệ ,kp2 , phường bửu long , tp biên hòa , đồng nai, P.Bửu Long,Biên Hòa,Đồng Nai"/>
    <s v="done"/>
    <s v="done"/>
    <s v="done"/>
    <s v="done"/>
    <x v="2"/>
    <x v="2"/>
    <x v="2"/>
  </r>
  <r>
    <n v="241"/>
    <s v="Nguyễn thị vân anh"/>
    <s v="nhà thuốc thanh thuy"/>
    <s v="0986506734"/>
    <s v="Nhà số 28,A20,khu tập thể nghĩa tân, P.Nghĩa Tân,Cầu Giấy,Hà Nội"/>
    <s v="done"/>
    <s v="done"/>
    <s v="done"/>
    <s v="done"/>
    <x v="2"/>
    <x v="1"/>
    <x v="1"/>
  </r>
  <r>
    <n v="242"/>
    <s v="65645"/>
    <s v="Qt gia Tuệ"/>
    <s v="00905197747"/>
    <s v="Dường A1, P.Vĩnh Hiệp,Nha Trang,Khánh Hòa"/>
    <s v="NY"/>
    <s v="NY"/>
    <s v="NY"/>
    <s v="NY"/>
    <x v="0"/>
    <x v="8"/>
    <x v="2"/>
  </r>
  <r>
    <n v="243"/>
    <s v="pham thi Bền"/>
    <s v="minh phung"/>
    <s v="0352028046"/>
    <s v="180 minh phung , P.06,Quận 6,Hồ Chí Minh"/>
    <s v="done"/>
    <s v="done"/>
    <s v="done"/>
    <s v="done"/>
    <x v="2"/>
    <x v="0"/>
    <x v="0"/>
  </r>
  <r>
    <n v="244"/>
    <s v="Diệp thị lý"/>
    <s v="quay thuoc 1730 bình minh"/>
    <s v="0937451684"/>
    <s v="247 to 5 khu phước hải, P.Long Thành,Long Thành,Đồng Nai"/>
    <s v="done"/>
    <s v="done"/>
    <s v="done"/>
    <s v="done"/>
    <x v="2"/>
    <x v="2"/>
    <x v="2"/>
  </r>
  <r>
    <n v="245"/>
    <s v="Vũ Thị Phượng"/>
    <s v="Nhà Thuốc Phú Thịnh"/>
    <s v="0773789219"/>
    <s v="246 Dương Quảng Hàm, phường 5, quận Gò Vấp, P.05,Gò Vấp,Hồ Chí Minh"/>
    <s v="done"/>
    <s v="done"/>
    <s v="done"/>
    <s v="done"/>
    <x v="2"/>
    <x v="0"/>
    <x v="0"/>
  </r>
  <r>
    <n v="246"/>
    <s v="huynh thi cam loan"/>
    <s v="Nha Thuoc Hai Binh"/>
    <s v="0934087637"/>
    <s v="257B Nguyen Bieu- P. 2, P.02,Quận 5,Hồ Chí Minh"/>
    <s v="done"/>
    <s v="done"/>
    <s v="done"/>
    <s v="done"/>
    <x v="2"/>
    <x v="0"/>
    <x v="0"/>
  </r>
  <r>
    <n v="247"/>
    <s v="Mai Thị Hồng"/>
    <s v="nt hong dao"/>
    <s v="0973564948"/>
    <s v="276 bắc hải, P.02,Tân Bình,Hồ Chí Minh"/>
    <s v="done"/>
    <s v="NY"/>
    <s v="NY"/>
    <s v="NY"/>
    <x v="1"/>
    <x v="0"/>
    <x v="0"/>
  </r>
  <r>
    <n v="248"/>
    <s v="Nguyễn Thành Được"/>
    <s v="QT Thành Đạt"/>
    <s v="0916797589"/>
    <s v="275 Ấp Bắc, Tân Thạnh, P.Thanh Bình,Thanh Bình,Đồng Tháp"/>
    <s v="NY"/>
    <s v="NY"/>
    <s v="NY"/>
    <s v="NY"/>
    <x v="0"/>
    <x v="6"/>
    <x v="2"/>
  </r>
  <r>
    <n v="249"/>
    <s v="Phan Thị Xuân Lý"/>
    <s v="NT Minh Huyền"/>
    <s v="0965678324"/>
    <s v="27 Thuận Kiều, P.12,Quận 5,Hồ Chí Minh"/>
    <s v="NY"/>
    <s v="NY"/>
    <s v="NY"/>
    <s v="NY"/>
    <x v="0"/>
    <x v="0"/>
    <x v="0"/>
  </r>
  <r>
    <n v="250"/>
    <s v="Phạm Thị Bích Thảo"/>
    <s v="NHA THUOC GIA KHANG"/>
    <s v="0949947848"/>
    <s v="77A Thống Nhất, P.11,Gò Vấp,Hồ Chí Minh"/>
    <s v="NY"/>
    <s v="done"/>
    <s v="NY"/>
    <s v="done"/>
    <x v="3"/>
    <x v="0"/>
    <x v="0"/>
  </r>
  <r>
    <n v="251"/>
    <s v="Lại Quốc Trị"/>
    <s v="Nha thuoc Quoc Tri"/>
    <s v="0907592348"/>
    <s v="186 phan van khoe, P.05,Quận 6,Hồ Chí Minh"/>
    <s v="NY"/>
    <s v="NY"/>
    <s v="NY"/>
    <s v="NY"/>
    <x v="0"/>
    <x v="0"/>
    <x v="0"/>
  </r>
  <r>
    <n v="252"/>
    <s v="Hoàng Thị Thanh Hường"/>
    <s v="nt 42 ds le thi minh chinh"/>
    <s v="0982710780"/>
    <s v="42, P.Hàng Mã,Hoàn Kiếm,Hà Nội"/>
    <s v="NY"/>
    <s v="NY"/>
    <s v="NY"/>
    <s v="NY"/>
    <x v="0"/>
    <x v="1"/>
    <x v="1"/>
  </r>
  <r>
    <n v="253"/>
    <s v="Nguyễn Thị Huệ"/>
    <s v="Nha thuoc Cong Tam"/>
    <s v="0907950909"/>
    <s v="43 le niem , p. Phú Thạnh, Q. Tân Phú , P.Phú Thạnh,Tân Phú,Hồ Chí Minh"/>
    <s v="NY"/>
    <s v="NY"/>
    <s v="NY"/>
    <s v="NY"/>
    <x v="0"/>
    <x v="0"/>
    <x v="0"/>
  </r>
  <r>
    <n v="254"/>
    <s v="Trương Đức Vọng"/>
    <s v="NT Huyen Si"/>
    <s v="0903904449"/>
    <s v="149 Nguyen Trai, P.Bến Thành,Quận 1,Hồ Chí Minh"/>
    <s v="NY"/>
    <s v="NY"/>
    <s v="NY"/>
    <s v="NY"/>
    <x v="0"/>
    <x v="0"/>
    <x v="0"/>
  </r>
  <r>
    <n v="255"/>
    <s v="Trương Vĩnh Thạnh"/>
    <s v="NT Thanh Tuyền 2"/>
    <s v="0326989199"/>
    <s v="705 Nguyễn Văn Quá, P.Đông Hưng Thuận,Quận 12,Hồ Chí Minh"/>
    <s v="NY"/>
    <s v="NY"/>
    <s v="NY"/>
    <s v="NY"/>
    <x v="0"/>
    <x v="0"/>
    <x v="0"/>
  </r>
  <r>
    <n v="256"/>
    <s v="Trần Thị Thanh Vân"/>
    <s v="NT BAO TRAN"/>
    <s v="0908200650"/>
    <s v="22 THICH QUANG DUC, P.05,Phú Nhuận,Hồ Chí Minh"/>
    <s v="NY"/>
    <s v="NY"/>
    <s v="NY"/>
    <s v="NY"/>
    <x v="0"/>
    <x v="0"/>
    <x v="0"/>
  </r>
  <r>
    <n v="257"/>
    <s v="Nguyễn văn kha"/>
    <s v="NT Việt Hưng"/>
    <s v="0979751919"/>
    <s v="88/155 truong chinh, P.Phương Liệt,Thanh Xuân,Hà Nội"/>
    <s v="NY"/>
    <s v="NY"/>
    <s v="NY"/>
    <s v="NY"/>
    <x v="0"/>
    <x v="1"/>
    <x v="1"/>
  </r>
  <r>
    <n v="258"/>
    <s v="Hồ Thị Thu Mộng"/>
    <s v="nhà thuốc phước thiện 3"/>
    <s v="0396762618"/>
    <s v="170 ông ích khiêm, P.Thạch Thang,Hải Châu,Đà Nẵng"/>
    <s v="NY"/>
    <s v="NY"/>
    <s v="NY"/>
    <s v="NY"/>
    <x v="0"/>
    <x v="13"/>
    <x v="3"/>
  </r>
  <r>
    <n v="259"/>
    <s v="đặng văn tuấn "/>
    <s v="đặng văn tuấn"/>
    <s v="0912156169"/>
    <s v="chợ gạch, P.Phúc Thọ,Phúc Thọ,Hà Nội"/>
    <s v="NY"/>
    <s v="NY"/>
    <s v="NY"/>
    <s v="NY"/>
    <x v="0"/>
    <x v="1"/>
    <x v="1"/>
  </r>
  <r>
    <n v="260"/>
    <s v="Trần Thị Ký"/>
    <s v="nt 42 ds lê thị minh chính"/>
    <s v="0943959417"/>
    <s v="42, P.Hàng Mã,Hoàn Kiếm,Hà Nội"/>
    <s v="NY"/>
    <s v="NY"/>
    <s v="NY"/>
    <s v="NY"/>
    <x v="0"/>
    <x v="1"/>
    <x v="1"/>
  </r>
  <r>
    <n v="261"/>
    <s v="NGUYEN DUC PHONG"/>
    <s v="Nha thuoc Trung Tam "/>
    <s v="0334089092"/>
    <s v="103 thanh thai., P.14,Quận 10,Hồ Chí Minh"/>
    <s v="NY"/>
    <s v="NY"/>
    <s v="NY"/>
    <s v="NY"/>
    <x v="0"/>
    <x v="0"/>
    <x v="0"/>
  </r>
  <r>
    <n v="262"/>
    <s v="Trương Thị Nga"/>
    <s v="nt Nga"/>
    <s v="0818024404"/>
    <s v="520 Trương Định, P.Tân Mai,Hoàng Mai,Hà Nội"/>
    <s v="NY"/>
    <s v="NY"/>
    <s v="NY"/>
    <s v="NY"/>
    <x v="0"/>
    <x v="1"/>
    <x v="1"/>
  </r>
  <r>
    <n v="263"/>
    <s v="Hồ Thị Phượng"/>
    <s v="NT Ngọc Vân"/>
    <s v="0906386965"/>
    <s v="26 đường 339, P.Phước Long B,Quận 9,Hồ Chí Minh"/>
    <s v="NY"/>
    <s v="NY"/>
    <s v="NY"/>
    <s v="done"/>
    <x v="1"/>
    <x v="0"/>
    <x v="0"/>
  </r>
  <r>
    <n v="264"/>
    <s v="huỳnh thị hoa"/>
    <s v="Nt hưng phát"/>
    <s v="0398731385"/>
    <s v="381a, P.Tân Chính,Thanh Khê,Đà Nẵng"/>
    <s v="NY"/>
    <s v="NY"/>
    <s v="NY"/>
    <s v="done"/>
    <x v="1"/>
    <x v="13"/>
    <x v="3"/>
  </r>
  <r>
    <n v="265"/>
    <s v="Sử thị lâm tuyền"/>
    <s v="NHA THUOC HANH NHAN"/>
    <s v="0989057146"/>
    <s v="399 LY THAI TO, P.09,Quận 10,Hồ Chí Minh"/>
    <s v="NY"/>
    <s v="NY"/>
    <s v="NY"/>
    <s v="NY"/>
    <x v="0"/>
    <x v="0"/>
    <x v="0"/>
  </r>
  <r>
    <n v="266"/>
    <s v="Phạm Thi Liên"/>
    <s v="NT Liên Mai"/>
    <s v="0945621111"/>
    <s v="625 Hoàng Hoa Thám, P.Vĩnh Phúc,Ba Đình,Hà Nội"/>
    <s v="NY"/>
    <s v="NY"/>
    <s v="NY"/>
    <s v="NY"/>
    <x v="0"/>
    <x v="1"/>
    <x v="1"/>
  </r>
  <r>
    <n v="267"/>
    <s v="Trần Thị Liên Hưng"/>
    <s v="NT An Lộc"/>
    <s v="0967685639"/>
    <s v="550 Nguyễn Oanh - P.6, P.15,Gò Vấp,Hồ Chí Minh"/>
    <s v="NY"/>
    <s v="NY"/>
    <s v="NY"/>
    <s v="NY"/>
    <x v="0"/>
    <x v="0"/>
    <x v="0"/>
  </r>
  <r>
    <n v="268"/>
    <s v="Vũ thị tuyết chinh"/>
    <s v="nhà thuốc lê thị thu hương"/>
    <s v="0965193889"/>
    <s v="157 Cự Lộc, P.Thượng Đình,Thanh Xuân,Hà Nội"/>
    <s v="NY"/>
    <s v="NY"/>
    <s v="NY"/>
    <s v="NY"/>
    <x v="0"/>
    <x v="1"/>
    <x v="1"/>
  </r>
  <r>
    <n v="269"/>
    <s v="Le thu cam huynh"/>
    <s v="nha thuoc Tam Anh"/>
    <s v="0908454870"/>
    <s v="20 no trang long, phuong 14, binh thanh, P.14,Bình Thạnh,Hồ Chí Minh"/>
    <s v="NY"/>
    <s v="NY"/>
    <s v="NY"/>
    <s v="NY"/>
    <x v="0"/>
    <x v="0"/>
    <x v="0"/>
  </r>
  <r>
    <n v="270"/>
    <s v="Trần Trọng Hải Hậu"/>
    <s v="nhất lan"/>
    <s v="0908460648"/>
    <s v="1161 Quốc Lộ 1A, P.Tân Tạo,Bình Tân,Hồ Chí Minh"/>
    <s v="NY"/>
    <s v="NY"/>
    <s v="NY"/>
    <s v="NY"/>
    <x v="0"/>
    <x v="0"/>
    <x v="0"/>
  </r>
  <r>
    <n v="271"/>
    <s v="Nguyễn Thái Huy"/>
    <s v="NT HUONG GIANG"/>
    <s v="0986832621"/>
    <s v="175/75 NGUYEN THIEN THUAT, P.01,Quận 3,Hồ Chí Minh"/>
    <s v="NY"/>
    <s v="NY"/>
    <s v="NY"/>
    <s v="NY"/>
    <x v="0"/>
    <x v="0"/>
    <x v="0"/>
  </r>
  <r>
    <n v="272"/>
    <m/>
    <m/>
    <s v="0967140666"/>
    <s v="15 Yên Lạc, Hà Nội"/>
    <s v="NY"/>
    <s v="NY"/>
    <s v="NY"/>
    <s v="NY"/>
    <x v="2"/>
    <x v="1"/>
    <x v="1"/>
  </r>
  <r>
    <n v="273"/>
    <m/>
    <m/>
    <s v="0902213933"/>
    <s v="70 Hồng Mai, Hà Nội"/>
    <s v="NY"/>
    <s v="NY"/>
    <s v="NY"/>
    <s v="NY"/>
    <x v="2"/>
    <x v="1"/>
    <x v="1"/>
  </r>
  <r>
    <m/>
    <s v="Trần Thanh Thanh "/>
    <s v="NHA THUOC PHUONG NHI"/>
    <s v="0903452774"/>
    <s v="43A PHAN XÍCH LONG, PHƯỜNG 2, QUẬN PHÚ NHUẬN, TP.HCM, P.02,Phú Nhuận,Hồ Chí Minh"/>
    <s v="done"/>
    <s v="done"/>
    <s v="done"/>
    <s v="done"/>
    <x v="2"/>
    <x v="0"/>
    <x v="0"/>
  </r>
  <r>
    <m/>
    <s v="Nguyễn Thị Thẳng"/>
    <s v="Nt anh tu"/>
    <s v="0379175142"/>
    <s v="299 phan xich long p1 Q PN, P.01,Phú Nhuận,Hồ Chí Minh"/>
    <s v="done"/>
    <s v="done"/>
    <s v="done"/>
    <s v="done"/>
    <x v="2"/>
    <x v="0"/>
    <x v="0"/>
  </r>
  <r>
    <m/>
    <s v="Thuy Trieu"/>
    <s v="Hoang Han"/>
    <s v="01644047086"/>
    <s v="Vườn Chuối, P.04, Quận 3, Hồ Chí Minh"/>
    <s v="done"/>
    <s v="done"/>
    <s v="NY"/>
    <s v="NY"/>
    <x v="3"/>
    <x v="0"/>
    <x v="0"/>
  </r>
  <r>
    <m/>
    <s v="Vnlocation8099"/>
    <s v="nt yen lac 19"/>
    <s v="0942419868"/>
    <s v="21 yen lac, P.Vĩnh Tuy,Hai Bà Trưng,Hà Nội"/>
    <s v="done"/>
    <s v="done"/>
    <s v="done"/>
    <s v="done"/>
    <x v="2"/>
    <x v="1"/>
    <x v="1"/>
  </r>
  <r>
    <m/>
    <s v="Phạm Toàn Quyền"/>
    <s v="NHA THUOC THAO KHOA "/>
    <s v="0932908301"/>
    <s v="144 DUONG BA TRAC, P.2, P.02,Quận 8,Hồ Chí Minh"/>
    <s v="NY"/>
    <s v="NY"/>
    <s v="done"/>
    <s v="NY"/>
    <x v="1"/>
    <x v="0"/>
    <x v="0"/>
  </r>
  <r>
    <m/>
    <s v="Duong Thi Mui"/>
    <s v="NT 412"/>
    <s v="0985620123"/>
    <s v="412 Le Lai, P.Đông Sơn,Thanh Hóa,Thanh Hóa"/>
    <s v="NY"/>
    <s v="NY"/>
    <s v="done"/>
    <s v="NY"/>
    <x v="1"/>
    <x v="14"/>
    <x v="3"/>
  </r>
  <r>
    <m/>
    <s v="Nguyễn Thị Hồng Thắm"/>
    <s v="Nhà thuốc 101 "/>
    <s v="0387733269"/>
    <s v="54/15 Hai Bà Trưng Phú Cường, P.Phú Cường,Thủ Dầu Một,Bình Dương"/>
    <s v="NY"/>
    <s v="NY"/>
    <s v="done"/>
    <s v="NY"/>
    <x v="1"/>
    <x v="11"/>
    <x v="2"/>
  </r>
  <r>
    <m/>
    <s v="Le Thi Anh Thu"/>
    <s v="Huu Son"/>
    <s v="0914611488"/>
    <s v="05 Binh Long, P.Binh Hưng Hoà A,Bình Tân,Hồ Chí Minh"/>
    <s v="NY"/>
    <s v="NY"/>
    <s v="done"/>
    <s v="NY"/>
    <x v="1"/>
    <x v="0"/>
    <x v="0"/>
  </r>
  <r>
    <m/>
    <s v="Nguyễn trung cương"/>
    <s v="nha thuoc thanh nhu"/>
    <s v="0786948532"/>
    <s v="85 hoàng hoa thám, P.06,Bình Thạnh,Hồ Chí Minh"/>
    <s v="NY"/>
    <s v="NY"/>
    <s v="done"/>
    <s v="NY"/>
    <x v="1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2E961D-45DC-487F-BBDC-C67861036247}" name="PivotTable2" cacheId="1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gridDropZones="1" multipleFieldFilters="0">
  <location ref="U2:X48" firstHeaderRow="2" firstDataRow="2" firstDataCol="3"/>
  <pivotFields count="12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 defaultSubtotal="0">
      <items count="5">
        <item x="1"/>
        <item x="3"/>
        <item x="4"/>
        <item x="2"/>
        <item x="0"/>
      </items>
    </pivotField>
    <pivotField axis="axisRow" compact="0" outline="0" showAll="0">
      <items count="16">
        <item x="5"/>
        <item x="11"/>
        <item x="4"/>
        <item x="13"/>
        <item x="3"/>
        <item x="2"/>
        <item x="6"/>
        <item x="7"/>
        <item x="12"/>
        <item x="0"/>
        <item x="1"/>
        <item x="8"/>
        <item x="10"/>
        <item x="9"/>
        <item x="14"/>
        <item t="default"/>
      </items>
    </pivotField>
    <pivotField axis="axisRow" compact="0" outline="0" showAll="0">
      <items count="5">
        <item x="3"/>
        <item x="2"/>
        <item x="0"/>
        <item x="1"/>
        <item t="default"/>
      </items>
    </pivotField>
  </pivotFields>
  <rowFields count="3">
    <field x="11"/>
    <field x="9"/>
    <field x="10"/>
  </rowFields>
  <rowItems count="45">
    <i>
      <x/>
      <x/>
      <x v="3"/>
    </i>
    <i r="2">
      <x v="14"/>
    </i>
    <i r="1">
      <x v="4"/>
      <x v="3"/>
    </i>
    <i r="2">
      <x v="7"/>
    </i>
    <i r="2">
      <x v="8"/>
    </i>
    <i r="2">
      <x v="12"/>
    </i>
    <i r="2">
      <x v="13"/>
    </i>
    <i t="default">
      <x/>
    </i>
    <i>
      <x v="1"/>
      <x/>
      <x/>
    </i>
    <i r="2">
      <x v="1"/>
    </i>
    <i r="2">
      <x v="2"/>
    </i>
    <i r="2">
      <x v="4"/>
    </i>
    <i r="2">
      <x v="5"/>
    </i>
    <i r="2">
      <x v="11"/>
    </i>
    <i r="1">
      <x v="1"/>
      <x v="2"/>
    </i>
    <i r="2">
      <x v="4"/>
    </i>
    <i r="2">
      <x v="5"/>
    </i>
    <i r="2">
      <x v="6"/>
    </i>
    <i r="1">
      <x v="2"/>
      <x v="2"/>
    </i>
    <i r="2">
      <x v="4"/>
    </i>
    <i r="2">
      <x v="5"/>
    </i>
    <i r="1">
      <x v="3"/>
      <x v="2"/>
    </i>
    <i r="2">
      <x v="4"/>
    </i>
    <i r="2">
      <x v="5"/>
    </i>
    <i r="2">
      <x v="11"/>
    </i>
    <i r="1">
      <x v="4"/>
      <x/>
    </i>
    <i r="2">
      <x v="1"/>
    </i>
    <i r="2">
      <x v="2"/>
    </i>
    <i r="2">
      <x v="4"/>
    </i>
    <i r="2">
      <x v="6"/>
    </i>
    <i r="2">
      <x v="11"/>
    </i>
    <i t="default">
      <x v="1"/>
    </i>
    <i>
      <x v="2"/>
      <x/>
      <x v="9"/>
    </i>
    <i r="1">
      <x v="1"/>
      <x v="9"/>
    </i>
    <i r="1">
      <x v="2"/>
      <x v="9"/>
    </i>
    <i r="1">
      <x v="3"/>
      <x v="9"/>
    </i>
    <i r="1">
      <x v="4"/>
      <x v="9"/>
    </i>
    <i t="default">
      <x v="2"/>
    </i>
    <i>
      <x v="3"/>
      <x/>
      <x v="10"/>
    </i>
    <i r="1">
      <x v="1"/>
      <x v="10"/>
    </i>
    <i r="1">
      <x v="2"/>
      <x v="10"/>
    </i>
    <i r="1">
      <x v="3"/>
      <x v="10"/>
    </i>
    <i r="1">
      <x v="4"/>
      <x v="10"/>
    </i>
    <i t="default">
      <x v="3"/>
    </i>
    <i t="grand">
      <x/>
    </i>
  </rowItems>
  <colItems count="1">
    <i/>
  </colItems>
  <dataFields count="1">
    <dataField name="Count of Results" fld="9" subtotal="count" baseField="0" baseItem="0"/>
  </dataFields>
  <formats count="1">
    <format dxfId="1">
      <pivotArea dataOnly="0" outline="0" fieldPosition="0">
        <references count="1">
          <reference field="11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48BEDA-F429-4FE5-841D-F814764859D2}" name="PivotTable3" cacheId="1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gridDropZones="1" multipleFieldFilters="0">
  <location ref="N12:O19" firstHeaderRow="2" firstDataRow="2" firstDataCol="1"/>
  <pivotFields count="12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 defaultSubtotal="0">
      <items count="5">
        <item x="1"/>
        <item x="3"/>
        <item x="4"/>
        <item x="2"/>
        <item x="0"/>
      </items>
    </pivotField>
    <pivotField compact="0" outline="0" showAll="0"/>
    <pivotField compact="0" outline="0" showAl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Results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8F55E0-B2F5-4933-B8A3-6A99A32F118A}" name="PivotTable1" cacheId="1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gridDropZones="1" multipleFieldFilters="0">
  <location ref="N2:S9" firstHeaderRow="1" firstDataRow="2" firstDataCol="1"/>
  <pivotFields count="12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 defaultSubtotal="0">
      <items count="5">
        <item x="1"/>
        <item x="3"/>
        <item x="4"/>
        <item x="2"/>
        <item x="0"/>
      </items>
    </pivotField>
    <pivotField compact="0" outline="0" showAll="0"/>
    <pivotField axis="axisCol" compact="0" outline="0" showAll="0">
      <items count="5">
        <item x="3"/>
        <item x="2"/>
        <item x="0"/>
        <item x="1"/>
        <item t="default"/>
      </items>
    </pivotField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1"/>
  </colFields>
  <colItems count="5">
    <i>
      <x/>
    </i>
    <i>
      <x v="1"/>
    </i>
    <i>
      <x v="2"/>
    </i>
    <i>
      <x v="3"/>
    </i>
    <i t="grand">
      <x/>
    </i>
  </colItems>
  <dataFields count="1">
    <dataField name="Count of Results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BEEBF-88D4-4BF6-8360-C01FDC0F42D1}">
  <dimension ref="A1:X713"/>
  <sheetViews>
    <sheetView tabSelected="1" topLeftCell="A253" workbookViewId="0">
      <selection activeCell="E284" sqref="E284"/>
    </sheetView>
  </sheetViews>
  <sheetFormatPr defaultColWidth="9.1796875" defaultRowHeight="13.85" x14ac:dyDescent="0.25"/>
  <cols>
    <col min="1" max="1" width="4" style="2" bestFit="1" customWidth="1"/>
    <col min="2" max="2" width="25.1796875" style="2" bestFit="1" customWidth="1"/>
    <col min="3" max="3" width="23.90625" style="2" customWidth="1"/>
    <col min="4" max="4" width="12.54296875" style="2" bestFit="1" customWidth="1"/>
    <col min="5" max="5" width="62.08984375" style="2" customWidth="1"/>
    <col min="6" max="9" width="9.1796875" style="2"/>
    <col min="10" max="10" width="16.6328125" style="2" customWidth="1"/>
    <col min="11" max="13" width="9.1796875" style="2"/>
    <col min="14" max="14" width="14.81640625" style="2" bestFit="1" customWidth="1"/>
    <col min="15" max="18" width="7.26953125" style="2" bestFit="1" customWidth="1"/>
    <col min="19" max="19" width="10.81640625" bestFit="1" customWidth="1"/>
    <col min="21" max="21" width="9.1796875" style="2"/>
    <col min="22" max="22" width="16.7265625" style="2" customWidth="1"/>
    <col min="23" max="23" width="10.26953125" style="2" bestFit="1" customWidth="1"/>
    <col min="24" max="24" width="5.08984375" style="2" bestFit="1" customWidth="1"/>
    <col min="25" max="16384" width="9.1796875" style="2"/>
  </cols>
  <sheetData>
    <row r="1" spans="1:24" x14ac:dyDescent="0.25">
      <c r="B1" s="6" t="s">
        <v>1107</v>
      </c>
      <c r="C1" s="7">
        <v>43868</v>
      </c>
    </row>
    <row r="2" spans="1:24" s="1" customForma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1119</v>
      </c>
      <c r="N2" s="20" t="s">
        <v>12</v>
      </c>
      <c r="O2" s="20" t="s">
        <v>11</v>
      </c>
      <c r="P2"/>
      <c r="Q2"/>
      <c r="R2"/>
      <c r="S2"/>
      <c r="U2" s="20" t="s">
        <v>12</v>
      </c>
      <c r="V2"/>
      <c r="W2"/>
      <c r="X2"/>
    </row>
    <row r="3" spans="1:24" x14ac:dyDescent="0.25">
      <c r="A3" s="2">
        <v>1</v>
      </c>
      <c r="B3" s="2" t="s">
        <v>13</v>
      </c>
      <c r="C3" s="2" t="s">
        <v>14</v>
      </c>
      <c r="D3" s="2" t="s">
        <v>15</v>
      </c>
      <c r="E3" s="2" t="s">
        <v>16</v>
      </c>
      <c r="F3" s="2" t="str">
        <f>IFERROR(VLOOKUP(D3,[3]Bai1_VuotQua!$D$8:$I$143,6,FALSE),"NY")</f>
        <v>NY</v>
      </c>
      <c r="G3" s="2" t="str">
        <f>IFERROR(VLOOKUP(D3,[3]Bai2_VuotQua!$D$8:$I$120,6,FALSE),"NY")</f>
        <v>NY</v>
      </c>
      <c r="H3" s="2" t="str">
        <f>IFERROR(VLOOKUP(D3,[3]Bai3_VuotQua!$D$8:$I$122,6,FALSE),"NY")</f>
        <v>NY</v>
      </c>
      <c r="I3" s="2" t="str">
        <f>IFERROR(VLOOKUP(D3,[3]Bai4_VuotQua!$D$8:$I$117,6,FALSE),"NY")</f>
        <v>NY</v>
      </c>
      <c r="J3" s="2" t="str">
        <f>IF(AND(F3="done",G3="done",H3="done",I3="done"),"done all",IF(OR(AND(F3="done",G3="done",H3="done"),AND(F3="done",G3="done",I3="done"),AND(F3="done",H3="done",I3="done"),AND(G3="done",H3="done",I3="done")),"done 3 lession",IF(OR(AND(F3="done",G3="done"),AND(F3="done",H3="done"),AND(F3="done",I3="done"),AND(G3="done",H3="done"),AND(G3="done",I3="done"),AND(H3="done",I3="done")),"done 2 lession",IF(OR(F3="done",G3="done",H3="done",I3="done"),"done 1 lession","NY"))))</f>
        <v>NY</v>
      </c>
      <c r="K3" s="2" t="str">
        <f>VLOOKUP($D3,[1]Bai1_View!$E$2:$J$177,5,FALSE)</f>
        <v>HCM</v>
      </c>
      <c r="L3" s="2" t="str">
        <f>VLOOKUP($D3,[1]Bai1_View!$E$2:$J$177,6,FALSE)</f>
        <v>A. Tri</v>
      </c>
      <c r="M3" s="2">
        <f>IFERROR(VLOOKUP(D3,[2]Hồng!$D$1:$M$21,10,FALSE),0)</f>
        <v>0</v>
      </c>
      <c r="N3" s="20" t="s">
        <v>9</v>
      </c>
      <c r="O3" t="s">
        <v>17</v>
      </c>
      <c r="P3" t="s">
        <v>18</v>
      </c>
      <c r="Q3" t="s">
        <v>19</v>
      </c>
      <c r="R3" t="s">
        <v>20</v>
      </c>
      <c r="S3" t="s">
        <v>21</v>
      </c>
      <c r="U3" s="20" t="s">
        <v>11</v>
      </c>
      <c r="V3" s="20" t="s">
        <v>9</v>
      </c>
      <c r="W3" s="20" t="s">
        <v>10</v>
      </c>
      <c r="X3" t="s">
        <v>22</v>
      </c>
    </row>
    <row r="4" spans="1:24" x14ac:dyDescent="0.25">
      <c r="A4" s="2">
        <v>2</v>
      </c>
      <c r="B4" s="2" t="s">
        <v>23</v>
      </c>
      <c r="C4" s="2" t="s">
        <v>24</v>
      </c>
      <c r="D4" s="2" t="s">
        <v>25</v>
      </c>
      <c r="E4" s="2" t="s">
        <v>26</v>
      </c>
      <c r="F4" s="2" t="str">
        <f>IFERROR(VLOOKUP(D4,[3]Bai1_VuotQua!$D$8:$I$143,6,FALSE),"NY")</f>
        <v>done</v>
      </c>
      <c r="G4" s="2" t="str">
        <f>IFERROR(VLOOKUP(D4,[3]Bai2_VuotQua!$D$8:$I$120,6,FALSE),"NY")</f>
        <v>NY</v>
      </c>
      <c r="H4" s="2" t="str">
        <f>IFERROR(VLOOKUP(D4,[3]Bai3_VuotQua!$D$8:$I$122,6,FALSE),"NY")</f>
        <v>NY</v>
      </c>
      <c r="I4" s="2" t="str">
        <f>IFERROR(VLOOKUP(D4,[3]Bai4_VuotQua!$D$8:$I$117,6,FALSE),"NY")</f>
        <v>NY</v>
      </c>
      <c r="J4" s="2" t="str">
        <f t="shared" ref="J4:J67" si="0">IF(AND(F4="done",G4="done",H4="done",I4="done"),"done all",IF(OR(AND(F4="done",G4="done",H4="done"),AND(F4="done",G4="done",I4="done"),AND(F4="done",H4="done",I4="done"),AND(G4="done",H4="done",I4="done")),"done 3 lession",IF(OR(AND(F4="done",G4="done"),AND(F4="done",H4="done"),AND(F4="done",I4="done"),AND(G4="done",H4="done"),AND(G4="done",I4="done"),AND(H4="done",I4="done")),"done 2 lession",IF(OR(F4="done",G4="done",H4="done",I4="done"),"done 1 lession","NY"))))</f>
        <v>done 1 lession</v>
      </c>
      <c r="K4" s="2" t="s">
        <v>27</v>
      </c>
      <c r="L4" s="2" t="s">
        <v>20</v>
      </c>
      <c r="M4" s="2">
        <f>IFERROR(VLOOKUP(D4,[2]Hồng!$D$1:$M$21,10,FALSE),0)</f>
        <v>0</v>
      </c>
      <c r="N4" t="s">
        <v>28</v>
      </c>
      <c r="O4" s="3">
        <v>2</v>
      </c>
      <c r="P4" s="3">
        <v>14</v>
      </c>
      <c r="Q4" s="3">
        <v>9</v>
      </c>
      <c r="R4" s="3">
        <v>14</v>
      </c>
      <c r="S4" s="3">
        <v>39</v>
      </c>
      <c r="U4" t="s">
        <v>17</v>
      </c>
      <c r="V4" t="s">
        <v>28</v>
      </c>
      <c r="W4" t="s">
        <v>29</v>
      </c>
      <c r="X4" s="3">
        <v>1</v>
      </c>
    </row>
    <row r="5" spans="1:24" x14ac:dyDescent="0.25">
      <c r="A5" s="2">
        <v>3</v>
      </c>
      <c r="B5" s="2" t="s">
        <v>30</v>
      </c>
      <c r="C5" s="2" t="s">
        <v>31</v>
      </c>
      <c r="D5" s="2" t="s">
        <v>32</v>
      </c>
      <c r="E5" s="2" t="s">
        <v>33</v>
      </c>
      <c r="F5" s="2" t="str">
        <f>IFERROR(VLOOKUP(D5,[3]Bai1_VuotQua!$D$8:$I$143,6,FALSE),"NY")</f>
        <v>NY</v>
      </c>
      <c r="G5" s="2" t="str">
        <f>IFERROR(VLOOKUP(D5,[3]Bai2_VuotQua!$D$8:$I$120,6,FALSE),"NY")</f>
        <v>NY</v>
      </c>
      <c r="H5" s="2" t="str">
        <f>IFERROR(VLOOKUP(D5,[3]Bai3_VuotQua!$D$8:$I$122,6,FALSE),"NY")</f>
        <v>NY</v>
      </c>
      <c r="I5" s="2" t="str">
        <f>IFERROR(VLOOKUP(D5,[3]Bai4_VuotQua!$D$8:$I$117,6,FALSE),"NY")</f>
        <v>NY</v>
      </c>
      <c r="J5" s="2" t="str">
        <f t="shared" si="0"/>
        <v>NY</v>
      </c>
      <c r="K5" s="2" t="str">
        <f>VLOOKUP($D5,[1]Bai1_View!$E$2:$J$177,5,FALSE)</f>
        <v>HCM</v>
      </c>
      <c r="L5" s="2" t="str">
        <f>VLOOKUP($D5,[1]Bai1_View!$E$2:$J$177,6,FALSE)</f>
        <v>A. Tri</v>
      </c>
      <c r="M5" s="2">
        <f>IFERROR(VLOOKUP(D5,[2]Hồng!$D$1:$M$21,10,FALSE),0)</f>
        <v>0</v>
      </c>
      <c r="N5" t="s">
        <v>34</v>
      </c>
      <c r="O5" s="3"/>
      <c r="P5" s="3">
        <v>5</v>
      </c>
      <c r="Q5" s="3">
        <v>4</v>
      </c>
      <c r="R5" s="3">
        <v>6</v>
      </c>
      <c r="S5" s="3">
        <v>15</v>
      </c>
      <c r="U5"/>
      <c r="V5"/>
      <c r="W5" t="s">
        <v>1161</v>
      </c>
      <c r="X5" s="3">
        <v>1</v>
      </c>
    </row>
    <row r="6" spans="1:24" x14ac:dyDescent="0.25">
      <c r="A6" s="2">
        <v>4</v>
      </c>
      <c r="B6" s="2" t="s">
        <v>35</v>
      </c>
      <c r="C6" s="2" t="s">
        <v>36</v>
      </c>
      <c r="D6" s="2" t="s">
        <v>37</v>
      </c>
      <c r="E6" s="2" t="s">
        <v>38</v>
      </c>
      <c r="F6" s="2" t="str">
        <f>IFERROR(VLOOKUP(D6,[3]Bai1_VuotQua!$D$8:$I$143,6,FALSE),"NY")</f>
        <v>NY</v>
      </c>
      <c r="G6" s="2" t="str">
        <f>IFERROR(VLOOKUP(D6,[3]Bai2_VuotQua!$D$8:$I$120,6,FALSE),"NY")</f>
        <v>NY</v>
      </c>
      <c r="H6" s="2" t="str">
        <f>IFERROR(VLOOKUP(D6,[3]Bai3_VuotQua!$D$8:$I$122,6,FALSE),"NY")</f>
        <v>NY</v>
      </c>
      <c r="I6" s="2" t="str">
        <f>IFERROR(VLOOKUP(D6,[3]Bai4_VuotQua!$D$8:$I$117,6,FALSE),"NY")</f>
        <v>NY</v>
      </c>
      <c r="J6" s="2" t="str">
        <f t="shared" si="0"/>
        <v>NY</v>
      </c>
      <c r="K6" s="2" t="s">
        <v>27</v>
      </c>
      <c r="L6" s="2" t="s">
        <v>20</v>
      </c>
      <c r="M6" s="2">
        <f>IFERROR(VLOOKUP(D6,[2]Hồng!$D$1:$M$21,10,FALSE),0)</f>
        <v>0</v>
      </c>
      <c r="N6" t="s">
        <v>39</v>
      </c>
      <c r="O6" s="3"/>
      <c r="P6" s="3">
        <v>6</v>
      </c>
      <c r="Q6" s="3">
        <v>4</v>
      </c>
      <c r="R6" s="3">
        <v>5</v>
      </c>
      <c r="S6" s="3">
        <v>15</v>
      </c>
      <c r="U6"/>
      <c r="V6" t="s">
        <v>40</v>
      </c>
      <c r="W6" t="s">
        <v>29</v>
      </c>
      <c r="X6" s="3">
        <v>1</v>
      </c>
    </row>
    <row r="7" spans="1:24" x14ac:dyDescent="0.25">
      <c r="A7" s="2">
        <v>5</v>
      </c>
      <c r="B7" s="2" t="s">
        <v>41</v>
      </c>
      <c r="C7" s="2" t="s">
        <v>42</v>
      </c>
      <c r="D7" s="2" t="s">
        <v>43</v>
      </c>
      <c r="E7" s="2" t="s">
        <v>44</v>
      </c>
      <c r="F7" s="2" t="str">
        <f>IFERROR(VLOOKUP(D7,[3]Bai1_VuotQua!$D$8:$I$143,6,FALSE),"NY")</f>
        <v>done</v>
      </c>
      <c r="G7" s="2" t="str">
        <f>IFERROR(VLOOKUP(D7,[3]Bai2_VuotQua!$D$8:$I$120,6,FALSE),"NY")</f>
        <v>NY</v>
      </c>
      <c r="H7" s="2" t="str">
        <f>IFERROR(VLOOKUP(D7,[3]Bai3_VuotQua!$D$8:$I$122,6,FALSE),"NY")</f>
        <v>NY</v>
      </c>
      <c r="I7" s="2" t="str">
        <f>IFERROR(VLOOKUP(D7,[3]Bai4_VuotQua!$D$8:$I$117,6,FALSE),"NY")</f>
        <v>NY</v>
      </c>
      <c r="J7" s="2" t="str">
        <f t="shared" si="0"/>
        <v>done 1 lession</v>
      </c>
      <c r="K7" s="2" t="str">
        <f>VLOOKUP($D7,[1]Bai1_View!$E$2:$J$177,5,FALSE)</f>
        <v>HN</v>
      </c>
      <c r="L7" s="2" t="str">
        <f>VLOOKUP($D7,[1]Bai1_View!$E$2:$J$177,6,FALSE)</f>
        <v>C. Quy</v>
      </c>
      <c r="M7" s="2">
        <f>IFERROR(VLOOKUP(D7,[2]Hồng!$D$1:$M$21,10,FALSE),0)</f>
        <v>0</v>
      </c>
      <c r="N7" t="s">
        <v>45</v>
      </c>
      <c r="O7" s="3"/>
      <c r="P7" s="3">
        <v>35</v>
      </c>
      <c r="Q7" s="3">
        <v>17</v>
      </c>
      <c r="R7" s="3">
        <v>40</v>
      </c>
      <c r="S7" s="3">
        <v>92</v>
      </c>
      <c r="U7"/>
      <c r="V7"/>
      <c r="W7" t="s">
        <v>46</v>
      </c>
      <c r="X7" s="3">
        <v>1</v>
      </c>
    </row>
    <row r="8" spans="1:24" x14ac:dyDescent="0.25">
      <c r="A8" s="2">
        <v>6</v>
      </c>
      <c r="B8" s="2" t="s">
        <v>47</v>
      </c>
      <c r="C8" s="2" t="s">
        <v>48</v>
      </c>
      <c r="D8" s="2" t="s">
        <v>49</v>
      </c>
      <c r="E8" s="2" t="s">
        <v>50</v>
      </c>
      <c r="F8" s="2" t="str">
        <f>IFERROR(VLOOKUP(D8,[3]Bai1_VuotQua!$D$8:$I$143,6,FALSE),"NY")</f>
        <v>done</v>
      </c>
      <c r="G8" s="2" t="str">
        <f>IFERROR(VLOOKUP(D8,[3]Bai2_VuotQua!$D$8:$I$120,6,FALSE),"NY")</f>
        <v>NY</v>
      </c>
      <c r="H8" s="2" t="str">
        <f>IFERROR(VLOOKUP(D8,[3]Bai3_VuotQua!$D$8:$I$122,6,FALSE),"NY")</f>
        <v>NY</v>
      </c>
      <c r="I8" s="2" t="str">
        <f>IFERROR(VLOOKUP(D8,[3]Bai4_VuotQua!$D$8:$I$117,6,FALSE),"NY")</f>
        <v>NY</v>
      </c>
      <c r="J8" s="2" t="str">
        <f t="shared" si="0"/>
        <v>done 1 lession</v>
      </c>
      <c r="K8" s="2" t="str">
        <f>VLOOKUP($D8,[1]Bai1_View!$E$2:$J$177,5,FALSE)</f>
        <v>Đồng Nai</v>
      </c>
      <c r="L8" s="2" t="str">
        <f>VLOOKUP($D8,[1]Bai1_View!$E$2:$J$177,6,FALSE)</f>
        <v>A. Tho</v>
      </c>
      <c r="M8" s="2">
        <f>IFERROR(VLOOKUP(D8,[2]Hồng!$D$1:$M$21,10,FALSE),0)</f>
        <v>0</v>
      </c>
      <c r="N8" t="s">
        <v>40</v>
      </c>
      <c r="O8" s="3">
        <v>9</v>
      </c>
      <c r="P8" s="3">
        <v>24</v>
      </c>
      <c r="Q8" s="3">
        <v>45</v>
      </c>
      <c r="R8" s="3">
        <v>43</v>
      </c>
      <c r="S8" s="3">
        <v>121</v>
      </c>
      <c r="U8"/>
      <c r="V8"/>
      <c r="W8" t="s">
        <v>51</v>
      </c>
      <c r="X8" s="3">
        <v>1</v>
      </c>
    </row>
    <row r="9" spans="1:24" x14ac:dyDescent="0.25">
      <c r="A9" s="2">
        <v>7</v>
      </c>
      <c r="B9" s="2" t="s">
        <v>52</v>
      </c>
      <c r="C9" s="2" t="s">
        <v>53</v>
      </c>
      <c r="D9" s="2" t="s">
        <v>54</v>
      </c>
      <c r="E9" s="2" t="s">
        <v>55</v>
      </c>
      <c r="F9" s="2" t="str">
        <f>IFERROR(VLOOKUP(D9,[3]Bai1_VuotQua!$D$8:$I$143,6,FALSE),"NY")</f>
        <v>NY</v>
      </c>
      <c r="G9" s="2" t="str">
        <f>IFERROR(VLOOKUP(D9,[3]Bai2_VuotQua!$D$8:$I$120,6,FALSE),"NY")</f>
        <v>NY</v>
      </c>
      <c r="H9" s="2" t="str">
        <f>IFERROR(VLOOKUP(D9,[3]Bai3_VuotQua!$D$8:$I$122,6,FALSE),"NY")</f>
        <v>done</v>
      </c>
      <c r="I9" s="2" t="str">
        <f>IFERROR(VLOOKUP(D9,[3]Bai4_VuotQua!$D$8:$I$117,6,FALSE),"NY")</f>
        <v>NY</v>
      </c>
      <c r="J9" s="2" t="str">
        <f t="shared" si="0"/>
        <v>done 1 lession</v>
      </c>
      <c r="K9" s="2" t="s">
        <v>27</v>
      </c>
      <c r="L9" s="2" t="s">
        <v>20</v>
      </c>
      <c r="M9" s="2">
        <f>IFERROR(VLOOKUP(D9,[2]Hồng!$D$1:$M$21,10,FALSE),0)</f>
        <v>0</v>
      </c>
      <c r="N9" t="s">
        <v>21</v>
      </c>
      <c r="O9" s="3">
        <v>11</v>
      </c>
      <c r="P9" s="3">
        <v>84</v>
      </c>
      <c r="Q9" s="3">
        <v>79</v>
      </c>
      <c r="R9" s="3">
        <v>108</v>
      </c>
      <c r="S9" s="3">
        <v>282</v>
      </c>
      <c r="U9"/>
      <c r="V9"/>
      <c r="W9" t="s">
        <v>56</v>
      </c>
      <c r="X9" s="3">
        <v>3</v>
      </c>
    </row>
    <row r="10" spans="1:24" x14ac:dyDescent="0.25">
      <c r="A10" s="2">
        <v>8</v>
      </c>
      <c r="B10" s="2" t="s">
        <v>57</v>
      </c>
      <c r="C10" s="2" t="s">
        <v>58</v>
      </c>
      <c r="D10" s="2" t="s">
        <v>59</v>
      </c>
      <c r="E10" s="2" t="s">
        <v>60</v>
      </c>
      <c r="F10" s="2" t="str">
        <f>IFERROR(VLOOKUP(D10,[3]Bai1_VuotQua!$D$8:$I$143,6,FALSE),"NY")</f>
        <v>NY</v>
      </c>
      <c r="G10" s="2" t="str">
        <f>IFERROR(VLOOKUP(D10,[3]Bai2_VuotQua!$D$8:$I$120,6,FALSE),"NY")</f>
        <v>NY</v>
      </c>
      <c r="H10" s="2" t="str">
        <f>IFERROR(VLOOKUP(D10,[3]Bai3_VuotQua!$D$8:$I$122,6,FALSE),"NY")</f>
        <v>NY</v>
      </c>
      <c r="I10" s="2" t="str">
        <f>IFERROR(VLOOKUP(D10,[3]Bai4_VuotQua!$D$8:$I$117,6,FALSE),"NY")</f>
        <v>NY</v>
      </c>
      <c r="J10" s="2" t="str">
        <f t="shared" si="0"/>
        <v>NY</v>
      </c>
      <c r="K10" s="2" t="s">
        <v>27</v>
      </c>
      <c r="L10" s="2" t="s">
        <v>20</v>
      </c>
      <c r="M10" s="2">
        <f>IFERROR(VLOOKUP(D10,[2]Hồng!$D$1:$M$21,10,FALSE),0)</f>
        <v>0</v>
      </c>
      <c r="N10"/>
      <c r="O10"/>
      <c r="P10"/>
      <c r="Q10"/>
      <c r="U10"/>
      <c r="V10"/>
      <c r="W10" t="s">
        <v>61</v>
      </c>
      <c r="X10" s="3">
        <v>3</v>
      </c>
    </row>
    <row r="11" spans="1:24" x14ac:dyDescent="0.25">
      <c r="A11" s="2">
        <v>9</v>
      </c>
      <c r="B11" s="2" t="s">
        <v>62</v>
      </c>
      <c r="C11" s="2" t="s">
        <v>63</v>
      </c>
      <c r="D11" s="2" t="s">
        <v>64</v>
      </c>
      <c r="E11" s="2" t="s">
        <v>65</v>
      </c>
      <c r="F11" s="2" t="str">
        <f>IFERROR(VLOOKUP(D11,[3]Bai1_VuotQua!$D$8:$I$143,6,FALSE),"NY")</f>
        <v>NY</v>
      </c>
      <c r="G11" s="2" t="str">
        <f>IFERROR(VLOOKUP(D11,[3]Bai2_VuotQua!$D$8:$I$120,6,FALSE),"NY")</f>
        <v>NY</v>
      </c>
      <c r="H11" s="2" t="str">
        <f>IFERROR(VLOOKUP(D11,[3]Bai3_VuotQua!$D$8:$I$122,6,FALSE),"NY")</f>
        <v>NY</v>
      </c>
      <c r="I11" s="2" t="str">
        <f>IFERROR(VLOOKUP(D11,[3]Bai4_VuotQua!$D$8:$I$117,6,FALSE),"NY")</f>
        <v>NY</v>
      </c>
      <c r="J11" s="2" t="str">
        <f t="shared" si="0"/>
        <v>NY</v>
      </c>
      <c r="K11" s="2" t="s">
        <v>27</v>
      </c>
      <c r="L11" s="2" t="s">
        <v>20</v>
      </c>
      <c r="M11" s="2">
        <f>IFERROR(VLOOKUP(D11,[2]Hồng!$D$1:$M$21,10,FALSE),0)</f>
        <v>0</v>
      </c>
      <c r="N11"/>
      <c r="O11"/>
      <c r="P11"/>
      <c r="Q11"/>
      <c r="U11" s="4" t="s">
        <v>66</v>
      </c>
      <c r="V11" s="4"/>
      <c r="W11" s="4"/>
      <c r="X11" s="5">
        <v>11</v>
      </c>
    </row>
    <row r="12" spans="1:24" x14ac:dyDescent="0.25">
      <c r="A12" s="2">
        <v>10</v>
      </c>
      <c r="B12" s="2" t="s">
        <v>67</v>
      </c>
      <c r="C12" s="2" t="s">
        <v>68</v>
      </c>
      <c r="D12" s="2" t="s">
        <v>69</v>
      </c>
      <c r="E12" s="2" t="s">
        <v>70</v>
      </c>
      <c r="F12" s="2" t="str">
        <f>IFERROR(VLOOKUP(D12,[3]Bai1_VuotQua!$D$8:$I$143,6,FALSE),"NY")</f>
        <v>done</v>
      </c>
      <c r="G12" s="2" t="str">
        <f>IFERROR(VLOOKUP(D12,[3]Bai2_VuotQua!$D$8:$I$120,6,FALSE),"NY")</f>
        <v>done</v>
      </c>
      <c r="H12" s="2" t="str">
        <f>IFERROR(VLOOKUP(D12,[3]Bai3_VuotQua!$D$8:$I$122,6,FALSE),"NY")</f>
        <v>done</v>
      </c>
      <c r="I12" s="2" t="str">
        <f>IFERROR(VLOOKUP(D12,[3]Bai4_VuotQua!$D$8:$I$117,6,FALSE),"NY")</f>
        <v>done</v>
      </c>
      <c r="J12" s="2" t="str">
        <f t="shared" si="0"/>
        <v>done all</v>
      </c>
      <c r="K12" s="2" t="str">
        <f>VLOOKUP($D12,[1]Bai1_View!$E$2:$J$177,5,FALSE)</f>
        <v>HN</v>
      </c>
      <c r="L12" s="2" t="str">
        <f>VLOOKUP($D12,[1]Bai1_View!$E$2:$J$177,6,FALSE)</f>
        <v>C. Quy</v>
      </c>
      <c r="M12" s="2" t="str">
        <f>IFERROR(VLOOKUP(D12,[2]Hồng!$D$1:$M$21,10,FALSE),0)</f>
        <v>ok</v>
      </c>
      <c r="N12" s="20" t="s">
        <v>12</v>
      </c>
      <c r="O12"/>
      <c r="P12"/>
      <c r="Q12"/>
      <c r="U12" t="s">
        <v>18</v>
      </c>
      <c r="V12" t="s">
        <v>28</v>
      </c>
      <c r="W12" t="s">
        <v>71</v>
      </c>
      <c r="X12" s="3">
        <v>2</v>
      </c>
    </row>
    <row r="13" spans="1:24" x14ac:dyDescent="0.25">
      <c r="A13" s="2">
        <v>11</v>
      </c>
      <c r="B13" s="2" t="s">
        <v>72</v>
      </c>
      <c r="C13" s="2" t="s">
        <v>73</v>
      </c>
      <c r="D13" s="2" t="s">
        <v>74</v>
      </c>
      <c r="E13" s="2" t="s">
        <v>75</v>
      </c>
      <c r="F13" s="2" t="str">
        <f>IFERROR(VLOOKUP(D13,[3]Bai1_VuotQua!$D$8:$I$143,6,FALSE),"NY")</f>
        <v>done</v>
      </c>
      <c r="G13" s="2" t="str">
        <f>IFERROR(VLOOKUP(D13,[3]Bai2_VuotQua!$D$8:$I$120,6,FALSE),"NY")</f>
        <v>NY</v>
      </c>
      <c r="H13" s="2" t="str">
        <f>IFERROR(VLOOKUP(D13,[3]Bai3_VuotQua!$D$8:$I$122,6,FALSE),"NY")</f>
        <v>NY</v>
      </c>
      <c r="I13" s="2" t="str">
        <f>IFERROR(VLOOKUP(D13,[3]Bai4_VuotQua!$D$8:$I$117,6,FALSE),"NY")</f>
        <v>done</v>
      </c>
      <c r="J13" s="2" t="str">
        <f t="shared" si="0"/>
        <v>done 2 lession</v>
      </c>
      <c r="K13" s="2" t="s">
        <v>27</v>
      </c>
      <c r="L13" s="2" t="s">
        <v>20</v>
      </c>
      <c r="M13" s="2">
        <f>IFERROR(VLOOKUP(D13,[2]Hồng!$D$1:$M$21,10,FALSE),0)</f>
        <v>0</v>
      </c>
      <c r="N13" s="20" t="s">
        <v>9</v>
      </c>
      <c r="O13" t="s">
        <v>22</v>
      </c>
      <c r="P13"/>
      <c r="Q13"/>
      <c r="U13"/>
      <c r="V13"/>
      <c r="W13" t="s">
        <v>146</v>
      </c>
      <c r="X13" s="3">
        <v>1</v>
      </c>
    </row>
    <row r="14" spans="1:24" x14ac:dyDescent="0.25">
      <c r="A14" s="2">
        <v>12</v>
      </c>
      <c r="B14" s="2" t="s">
        <v>77</v>
      </c>
      <c r="C14" s="2" t="s">
        <v>78</v>
      </c>
      <c r="D14" s="2" t="s">
        <v>79</v>
      </c>
      <c r="E14" s="2" t="s">
        <v>80</v>
      </c>
      <c r="F14" s="2" t="str">
        <f>IFERROR(VLOOKUP(D14,[3]Bai1_VuotQua!$D$8:$I$143,6,FALSE),"NY")</f>
        <v>done</v>
      </c>
      <c r="G14" s="2" t="str">
        <f>IFERROR(VLOOKUP(D14,[3]Bai2_VuotQua!$D$8:$I$120,6,FALSE),"NY")</f>
        <v>done</v>
      </c>
      <c r="H14" s="2" t="str">
        <f>IFERROR(VLOOKUP(D14,[3]Bai3_VuotQua!$D$8:$I$122,6,FALSE),"NY")</f>
        <v>done</v>
      </c>
      <c r="I14" s="2" t="str">
        <f>IFERROR(VLOOKUP(D14,[3]Bai4_VuotQua!$D$8:$I$117,6,FALSE),"NY")</f>
        <v>done</v>
      </c>
      <c r="J14" s="2" t="str">
        <f t="shared" si="0"/>
        <v>done all</v>
      </c>
      <c r="K14" s="2" t="str">
        <f>VLOOKUP($D14,[1]Bai1_View!$E$2:$J$177,5,FALSE)</f>
        <v>HCM</v>
      </c>
      <c r="L14" s="2" t="str">
        <f>VLOOKUP($D14,[1]Bai1_View!$E$2:$J$177,6,FALSE)</f>
        <v>A. Tri</v>
      </c>
      <c r="M14" s="2">
        <f>IFERROR(VLOOKUP(D14,[2]Hồng!$D$1:$M$21,10,FALSE),0)</f>
        <v>0</v>
      </c>
      <c r="N14" t="s">
        <v>28</v>
      </c>
      <c r="O14" s="3">
        <v>39</v>
      </c>
      <c r="P14"/>
      <c r="Q14"/>
      <c r="U14"/>
      <c r="V14"/>
      <c r="W14" t="s">
        <v>76</v>
      </c>
      <c r="X14" s="3">
        <v>1</v>
      </c>
    </row>
    <row r="15" spans="1:24" x14ac:dyDescent="0.25">
      <c r="A15" s="2">
        <v>13</v>
      </c>
      <c r="B15" s="2" t="s">
        <v>82</v>
      </c>
      <c r="C15" s="2" t="s">
        <v>83</v>
      </c>
      <c r="D15" s="2" t="s">
        <v>84</v>
      </c>
      <c r="E15" s="2" t="s">
        <v>85</v>
      </c>
      <c r="F15" s="2" t="str">
        <f>IFERROR(VLOOKUP(D15,[3]Bai1_VuotQua!$D$8:$I$143,6,FALSE),"NY")</f>
        <v>done</v>
      </c>
      <c r="G15" s="2" t="str">
        <f>IFERROR(VLOOKUP(D15,[3]Bai2_VuotQua!$D$8:$I$120,6,FALSE),"NY")</f>
        <v>done</v>
      </c>
      <c r="H15" s="2" t="str">
        <f>IFERROR(VLOOKUP(D15,[3]Bai3_VuotQua!$D$8:$I$122,6,FALSE),"NY")</f>
        <v>done</v>
      </c>
      <c r="I15" s="2" t="str">
        <f>IFERROR(VLOOKUP(D15,[3]Bai4_VuotQua!$D$8:$I$117,6,FALSE),"NY")</f>
        <v>NY</v>
      </c>
      <c r="J15" s="2" t="str">
        <f t="shared" si="0"/>
        <v>done 3 lession</v>
      </c>
      <c r="K15" s="2" t="s">
        <v>27</v>
      </c>
      <c r="L15" s="2" t="s">
        <v>20</v>
      </c>
      <c r="M15" s="2">
        <f>IFERROR(VLOOKUP(D15,[2]Hồng!$D$1:$M$21,10,FALSE),0)</f>
        <v>0</v>
      </c>
      <c r="N15" t="s">
        <v>34</v>
      </c>
      <c r="O15" s="3">
        <v>15</v>
      </c>
      <c r="P15"/>
      <c r="Q15"/>
      <c r="U15"/>
      <c r="V15"/>
      <c r="W15" t="s">
        <v>81</v>
      </c>
      <c r="X15" s="3">
        <v>3</v>
      </c>
    </row>
    <row r="16" spans="1:24" x14ac:dyDescent="0.25">
      <c r="A16" s="2">
        <v>14</v>
      </c>
      <c r="B16" s="2" t="s">
        <v>87</v>
      </c>
      <c r="C16" s="2" t="s">
        <v>88</v>
      </c>
      <c r="D16" s="2" t="s">
        <v>89</v>
      </c>
      <c r="E16" s="2" t="s">
        <v>90</v>
      </c>
      <c r="F16" s="2" t="str">
        <f>IFERROR(VLOOKUP(D16,[3]Bai1_VuotQua!$D$8:$I$143,6,FALSE),"NY")</f>
        <v>NY</v>
      </c>
      <c r="G16" s="2" t="str">
        <f>IFERROR(VLOOKUP(D16,[3]Bai2_VuotQua!$D$8:$I$120,6,FALSE),"NY")</f>
        <v>done</v>
      </c>
      <c r="H16" s="2" t="str">
        <f>IFERROR(VLOOKUP(D16,[3]Bai3_VuotQua!$D$8:$I$122,6,FALSE),"NY")</f>
        <v>done</v>
      </c>
      <c r="I16" s="2" t="str">
        <f>IFERROR(VLOOKUP(D16,[3]Bai4_VuotQua!$D$8:$I$117,6,FALSE),"NY")</f>
        <v>done</v>
      </c>
      <c r="J16" s="2" t="str">
        <f t="shared" si="0"/>
        <v>done 3 lession</v>
      </c>
      <c r="K16" s="2" t="str">
        <f>VLOOKUP($D16,[1]Bai1_View!$E$2:$J$177,5,FALSE)</f>
        <v>Đăk Lăk</v>
      </c>
      <c r="L16" s="2" t="str">
        <f>VLOOKUP($D16,[1]Bai1_View!$E$2:$J$177,6,FALSE)</f>
        <v>A. Tho</v>
      </c>
      <c r="M16" s="2">
        <f>IFERROR(VLOOKUP(D16,[2]Hồng!$D$1:$M$21,10,FALSE),0)</f>
        <v>0</v>
      </c>
      <c r="N16" t="s">
        <v>39</v>
      </c>
      <c r="O16" s="3">
        <v>15</v>
      </c>
      <c r="P16"/>
      <c r="Q16"/>
      <c r="U16"/>
      <c r="V16"/>
      <c r="W16" t="s">
        <v>86</v>
      </c>
      <c r="X16" s="3">
        <v>3</v>
      </c>
    </row>
    <row r="17" spans="1:24" x14ac:dyDescent="0.25">
      <c r="A17" s="2">
        <v>15</v>
      </c>
      <c r="B17" s="2" t="s">
        <v>92</v>
      </c>
      <c r="C17" s="2" t="s">
        <v>93</v>
      </c>
      <c r="D17" s="2" t="s">
        <v>94</v>
      </c>
      <c r="E17" s="2" t="s">
        <v>95</v>
      </c>
      <c r="F17" s="2" t="str">
        <f>IFERROR(VLOOKUP(D17,[3]Bai1_VuotQua!$D$8:$I$143,6,FALSE),"NY")</f>
        <v>done</v>
      </c>
      <c r="G17" s="2" t="str">
        <f>IFERROR(VLOOKUP(D17,[3]Bai2_VuotQua!$D$8:$I$120,6,FALSE),"NY")</f>
        <v>done</v>
      </c>
      <c r="H17" s="2" t="str">
        <f>IFERROR(VLOOKUP(D17,[3]Bai3_VuotQua!$D$8:$I$122,6,FALSE),"NY")</f>
        <v>done</v>
      </c>
      <c r="I17" s="2" t="str">
        <f>IFERROR(VLOOKUP(D17,[3]Bai4_VuotQua!$D$8:$I$117,6,FALSE),"NY")</f>
        <v>done</v>
      </c>
      <c r="J17" s="2" t="str">
        <f t="shared" si="0"/>
        <v>done all</v>
      </c>
      <c r="K17" s="2" t="str">
        <f>VLOOKUP($D17,[1]Bai1_View!$E$2:$J$177,5,FALSE)</f>
        <v>HN</v>
      </c>
      <c r="L17" s="2" t="str">
        <f>VLOOKUP($D17,[1]Bai1_View!$E$2:$J$177,6,FALSE)</f>
        <v>C. Quy</v>
      </c>
      <c r="M17" s="2">
        <f>IFERROR(VLOOKUP(D17,[2]Hồng!$D$1:$M$21,10,FALSE),0)</f>
        <v>0</v>
      </c>
      <c r="N17" t="s">
        <v>45</v>
      </c>
      <c r="O17" s="3">
        <v>92</v>
      </c>
      <c r="P17"/>
      <c r="Q17"/>
      <c r="U17"/>
      <c r="V17"/>
      <c r="W17" t="s">
        <v>91</v>
      </c>
      <c r="X17" s="3">
        <v>4</v>
      </c>
    </row>
    <row r="18" spans="1:24" x14ac:dyDescent="0.25">
      <c r="A18" s="2">
        <v>16</v>
      </c>
      <c r="B18" s="2" t="s">
        <v>96</v>
      </c>
      <c r="C18" s="2" t="s">
        <v>97</v>
      </c>
      <c r="D18" s="2" t="s">
        <v>98</v>
      </c>
      <c r="E18" s="2" t="s">
        <v>99</v>
      </c>
      <c r="F18" s="2" t="str">
        <f>IFERROR(VLOOKUP(D18,[3]Bai1_VuotQua!$D$8:$I$143,6,FALSE),"NY")</f>
        <v>done</v>
      </c>
      <c r="G18" s="2" t="str">
        <f>IFERROR(VLOOKUP(D18,[3]Bai2_VuotQua!$D$8:$I$120,6,FALSE),"NY")</f>
        <v>done</v>
      </c>
      <c r="H18" s="2" t="str">
        <f>IFERROR(VLOOKUP(D18,[3]Bai3_VuotQua!$D$8:$I$122,6,FALSE),"NY")</f>
        <v>done</v>
      </c>
      <c r="I18" s="2" t="str">
        <f>IFERROR(VLOOKUP(D18,[3]Bai4_VuotQua!$D$8:$I$117,6,FALSE),"NY")</f>
        <v>done</v>
      </c>
      <c r="J18" s="2" t="str">
        <f t="shared" si="0"/>
        <v>done all</v>
      </c>
      <c r="K18" s="2" t="s">
        <v>27</v>
      </c>
      <c r="L18" s="2" t="s">
        <v>20</v>
      </c>
      <c r="M18" s="2">
        <f>IFERROR(VLOOKUP(D18,[2]Hồng!$D$1:$M$21,10,FALSE),0)</f>
        <v>0</v>
      </c>
      <c r="N18" t="s">
        <v>40</v>
      </c>
      <c r="O18" s="3">
        <v>121</v>
      </c>
      <c r="P18"/>
      <c r="Q18"/>
      <c r="U18"/>
      <c r="V18" t="s">
        <v>34</v>
      </c>
      <c r="W18" t="s">
        <v>76</v>
      </c>
      <c r="X18" s="3">
        <v>1</v>
      </c>
    </row>
    <row r="19" spans="1:24" x14ac:dyDescent="0.25">
      <c r="A19" s="2">
        <v>17</v>
      </c>
      <c r="B19" s="2" t="s">
        <v>100</v>
      </c>
      <c r="C19" s="2" t="s">
        <v>101</v>
      </c>
      <c r="D19" s="2" t="s">
        <v>102</v>
      </c>
      <c r="E19" s="2" t="s">
        <v>103</v>
      </c>
      <c r="F19" s="2" t="str">
        <f>IFERROR(VLOOKUP(D19,[3]Bai1_VuotQua!$D$8:$I$143,6,FALSE),"NY")</f>
        <v>NY</v>
      </c>
      <c r="G19" s="2" t="str">
        <f>IFERROR(VLOOKUP(D19,[3]Bai2_VuotQua!$D$8:$I$120,6,FALSE),"NY")</f>
        <v>done</v>
      </c>
      <c r="H19" s="2" t="str">
        <f>IFERROR(VLOOKUP(D19,[3]Bai3_VuotQua!$D$8:$I$122,6,FALSE),"NY")</f>
        <v>done</v>
      </c>
      <c r="I19" s="2" t="str">
        <f>IFERROR(VLOOKUP(D19,[3]Bai4_VuotQua!$D$8:$I$117,6,FALSE),"NY")</f>
        <v>done</v>
      </c>
      <c r="J19" s="2" t="str">
        <f t="shared" si="0"/>
        <v>done 3 lession</v>
      </c>
      <c r="K19" s="2" t="str">
        <f>VLOOKUP($D19,[1]Bai1_View!$E$2:$J$177,5,FALSE)</f>
        <v>Cần Thơ</v>
      </c>
      <c r="L19" s="2" t="str">
        <f>VLOOKUP($D19,[1]Bai1_View!$E$2:$J$177,6,FALSE)</f>
        <v>A. Tho</v>
      </c>
      <c r="M19" s="2">
        <f>IFERROR(VLOOKUP(D19,[2]Hồng!$D$1:$M$21,10,FALSE),0)</f>
        <v>0</v>
      </c>
      <c r="N19" t="s">
        <v>21</v>
      </c>
      <c r="O19" s="3">
        <v>282</v>
      </c>
      <c r="P19"/>
      <c r="Q19"/>
      <c r="U19"/>
      <c r="V19"/>
      <c r="W19" t="s">
        <v>81</v>
      </c>
      <c r="X19" s="3">
        <v>1</v>
      </c>
    </row>
    <row r="20" spans="1:24" x14ac:dyDescent="0.25">
      <c r="A20" s="2">
        <v>18</v>
      </c>
      <c r="B20" s="2" t="s">
        <v>104</v>
      </c>
      <c r="C20" s="2" t="s">
        <v>105</v>
      </c>
      <c r="D20" s="2" t="s">
        <v>106</v>
      </c>
      <c r="E20" s="2" t="s">
        <v>107</v>
      </c>
      <c r="F20" s="2" t="str">
        <f>IFERROR(VLOOKUP(D20,[3]Bai1_VuotQua!$D$8:$I$143,6,FALSE),"NY")</f>
        <v>done</v>
      </c>
      <c r="G20" s="2" t="str">
        <f>IFERROR(VLOOKUP(D20,[3]Bai2_VuotQua!$D$8:$I$120,6,FALSE),"NY")</f>
        <v>done</v>
      </c>
      <c r="H20" s="2" t="str">
        <f>IFERROR(VLOOKUP(D20,[3]Bai3_VuotQua!$D$8:$I$122,6,FALSE),"NY")</f>
        <v>done</v>
      </c>
      <c r="I20" s="2" t="str">
        <f>IFERROR(VLOOKUP(D20,[3]Bai4_VuotQua!$D$8:$I$117,6,FALSE),"NY")</f>
        <v>done</v>
      </c>
      <c r="J20" s="2" t="str">
        <f t="shared" si="0"/>
        <v>done all</v>
      </c>
      <c r="K20" s="2" t="str">
        <f>VLOOKUP($D20,[1]Bai1_View!$E$2:$J$177,5,FALSE)</f>
        <v>Cần Thơ</v>
      </c>
      <c r="L20" s="2" t="str">
        <f>VLOOKUP($D20,[1]Bai1_View!$E$2:$J$177,6,FALSE)</f>
        <v>A. Tho</v>
      </c>
      <c r="M20" s="2">
        <f>IFERROR(VLOOKUP(D20,[2]Hồng!$D$1:$M$21,10,FALSE),0)</f>
        <v>0</v>
      </c>
      <c r="N20"/>
      <c r="O20"/>
      <c r="P20"/>
      <c r="Q20"/>
      <c r="U20"/>
      <c r="V20"/>
      <c r="W20" t="s">
        <v>86</v>
      </c>
      <c r="X20" s="3">
        <v>2</v>
      </c>
    </row>
    <row r="21" spans="1:24" x14ac:dyDescent="0.25">
      <c r="A21" s="2">
        <v>19</v>
      </c>
      <c r="B21" s="2" t="s">
        <v>109</v>
      </c>
      <c r="C21" s="2" t="s">
        <v>110</v>
      </c>
      <c r="D21" s="2" t="s">
        <v>111</v>
      </c>
      <c r="E21" s="2" t="s">
        <v>112</v>
      </c>
      <c r="F21" s="2" t="str">
        <f>IFERROR(VLOOKUP(D21,[3]Bai1_VuotQua!$D$8:$I$143,6,FALSE),"NY")</f>
        <v>done</v>
      </c>
      <c r="G21" s="2" t="str">
        <f>IFERROR(VLOOKUP(D21,[3]Bai2_VuotQua!$D$8:$I$120,6,FALSE),"NY")</f>
        <v>NY</v>
      </c>
      <c r="H21" s="2" t="str">
        <f>IFERROR(VLOOKUP(D21,[3]Bai3_VuotQua!$D$8:$I$122,6,FALSE),"NY")</f>
        <v>NY</v>
      </c>
      <c r="I21" s="2" t="str">
        <f>IFERROR(VLOOKUP(D21,[3]Bai4_VuotQua!$D$8:$I$117,6,FALSE),"NY")</f>
        <v>NY</v>
      </c>
      <c r="J21" s="2" t="str">
        <f t="shared" si="0"/>
        <v>done 1 lession</v>
      </c>
      <c r="K21" s="2" t="str">
        <f>VLOOKUP($D21,[1]Bai1_View!$E$2:$J$177,5,FALSE)</f>
        <v>HN</v>
      </c>
      <c r="L21" s="2" t="str">
        <f>VLOOKUP($D21,[1]Bai1_View!$E$2:$J$177,6,FALSE)</f>
        <v>C. Quy</v>
      </c>
      <c r="M21" s="2">
        <f>IFERROR(VLOOKUP(D21,[2]Hồng!$D$1:$M$21,10,FALSE),0)</f>
        <v>0</v>
      </c>
      <c r="U21"/>
      <c r="V21"/>
      <c r="W21" t="s">
        <v>108</v>
      </c>
      <c r="X21" s="3">
        <v>1</v>
      </c>
    </row>
    <row r="22" spans="1:24" x14ac:dyDescent="0.25">
      <c r="A22" s="2">
        <v>20</v>
      </c>
      <c r="B22" s="2" t="s">
        <v>113</v>
      </c>
      <c r="C22" s="2" t="s">
        <v>114</v>
      </c>
      <c r="D22" s="2" t="s">
        <v>115</v>
      </c>
      <c r="E22" s="2" t="s">
        <v>116</v>
      </c>
      <c r="F22" s="2" t="str">
        <f>IFERROR(VLOOKUP(D22,[3]Bai1_VuotQua!$D$8:$I$143,6,FALSE),"NY")</f>
        <v>NY</v>
      </c>
      <c r="G22" s="2" t="str">
        <f>IFERROR(VLOOKUP(D22,[3]Bai2_VuotQua!$D$8:$I$120,6,FALSE),"NY")</f>
        <v>NY</v>
      </c>
      <c r="H22" s="2" t="str">
        <f>IFERROR(VLOOKUP(D22,[3]Bai3_VuotQua!$D$8:$I$122,6,FALSE),"NY")</f>
        <v>NY</v>
      </c>
      <c r="I22" s="2" t="str">
        <f>IFERROR(VLOOKUP(D22,[3]Bai4_VuotQua!$D$8:$I$117,6,FALSE),"NY")</f>
        <v>NY</v>
      </c>
      <c r="J22" s="2" t="str">
        <f t="shared" si="0"/>
        <v>NY</v>
      </c>
      <c r="K22" s="2" t="str">
        <f>VLOOKUP($D22,[1]Bai1_View!$E$2:$J$177,5,FALSE)</f>
        <v>An Giang</v>
      </c>
      <c r="L22" s="2" t="str">
        <f>VLOOKUP($D22,[1]Bai1_View!$E$2:$J$177,6,FALSE)</f>
        <v>A. Tho</v>
      </c>
      <c r="M22" s="2">
        <f>IFERROR(VLOOKUP(D22,[2]Hồng!$D$1:$M$21,10,FALSE),0)</f>
        <v>0</v>
      </c>
      <c r="U22"/>
      <c r="V22" t="s">
        <v>39</v>
      </c>
      <c r="W22" t="s">
        <v>76</v>
      </c>
      <c r="X22" s="3">
        <v>1</v>
      </c>
    </row>
    <row r="23" spans="1:24" x14ac:dyDescent="0.25">
      <c r="A23" s="2">
        <v>21</v>
      </c>
      <c r="B23" s="2" t="s">
        <v>117</v>
      </c>
      <c r="C23" s="2" t="s">
        <v>118</v>
      </c>
      <c r="D23" s="2" t="s">
        <v>119</v>
      </c>
      <c r="E23" s="2" t="s">
        <v>120</v>
      </c>
      <c r="F23" s="2" t="str">
        <f>IFERROR(VLOOKUP(D23,[3]Bai1_VuotQua!$D$8:$I$143,6,FALSE),"NY")</f>
        <v>done</v>
      </c>
      <c r="G23" s="2" t="str">
        <f>IFERROR(VLOOKUP(D23,[3]Bai2_VuotQua!$D$8:$I$120,6,FALSE),"NY")</f>
        <v>done</v>
      </c>
      <c r="H23" s="2" t="str">
        <f>IFERROR(VLOOKUP(D23,[3]Bai3_VuotQua!$D$8:$I$122,6,FALSE),"NY")</f>
        <v>done</v>
      </c>
      <c r="I23" s="2" t="str">
        <f>IFERROR(VLOOKUP(D23,[3]Bai4_VuotQua!$D$8:$I$117,6,FALSE),"NY")</f>
        <v>done</v>
      </c>
      <c r="J23" s="2" t="str">
        <f t="shared" si="0"/>
        <v>done all</v>
      </c>
      <c r="K23" s="2" t="str">
        <f>VLOOKUP($D23,[1]Bai1_View!$E$2:$J$177,5,FALSE)</f>
        <v>Cần Thơ</v>
      </c>
      <c r="L23" s="2" t="str">
        <f>VLOOKUP($D23,[1]Bai1_View!$E$2:$J$177,6,FALSE)</f>
        <v>A. Tho</v>
      </c>
      <c r="M23" s="2">
        <f>IFERROR(VLOOKUP(D23,[2]Hồng!$D$1:$M$21,10,FALSE),0)</f>
        <v>0</v>
      </c>
      <c r="U23"/>
      <c r="V23"/>
      <c r="W23" t="s">
        <v>81</v>
      </c>
      <c r="X23" s="3">
        <v>1</v>
      </c>
    </row>
    <row r="24" spans="1:24" x14ac:dyDescent="0.25">
      <c r="A24" s="2">
        <v>22</v>
      </c>
      <c r="B24" s="2" t="s">
        <v>121</v>
      </c>
      <c r="C24" s="2" t="s">
        <v>122</v>
      </c>
      <c r="D24" s="2" t="s">
        <v>123</v>
      </c>
      <c r="E24" s="2" t="s">
        <v>124</v>
      </c>
      <c r="F24" s="2" t="str">
        <f>IFERROR(VLOOKUP(D24,[3]Bai1_VuotQua!$D$8:$I$143,6,FALSE),"NY")</f>
        <v>NY</v>
      </c>
      <c r="G24" s="2" t="str">
        <f>IFERROR(VLOOKUP(D24,[3]Bai2_VuotQua!$D$8:$I$120,6,FALSE),"NY")</f>
        <v>NY</v>
      </c>
      <c r="H24" s="2" t="str">
        <f>IFERROR(VLOOKUP(D24,[3]Bai3_VuotQua!$D$8:$I$122,6,FALSE),"NY")</f>
        <v>NY</v>
      </c>
      <c r="I24" s="2" t="str">
        <f>IFERROR(VLOOKUP(D24,[3]Bai4_VuotQua!$D$8:$I$117,6,FALSE),"NY")</f>
        <v>NY</v>
      </c>
      <c r="J24" s="2" t="str">
        <f t="shared" si="0"/>
        <v>NY</v>
      </c>
      <c r="K24" s="2" t="s">
        <v>125</v>
      </c>
      <c r="L24" s="2" t="s">
        <v>19</v>
      </c>
      <c r="M24" s="2">
        <f>IFERROR(VLOOKUP(D24,[2]Hồng!$D$1:$M$21,10,FALSE),0)</f>
        <v>0</v>
      </c>
      <c r="U24"/>
      <c r="V24"/>
      <c r="W24" t="s">
        <v>86</v>
      </c>
      <c r="X24" s="3">
        <v>4</v>
      </c>
    </row>
    <row r="25" spans="1:24" x14ac:dyDescent="0.25">
      <c r="A25" s="2">
        <v>23</v>
      </c>
      <c r="B25" s="2" t="s">
        <v>126</v>
      </c>
      <c r="C25" s="2" t="s">
        <v>127</v>
      </c>
      <c r="D25" s="2" t="s">
        <v>128</v>
      </c>
      <c r="E25" s="2" t="s">
        <v>129</v>
      </c>
      <c r="F25" s="2" t="str">
        <f>IFERROR(VLOOKUP(D25,[3]Bai1_VuotQua!$D$8:$I$143,6,FALSE),"NY")</f>
        <v>done</v>
      </c>
      <c r="G25" s="2" t="str">
        <f>IFERROR(VLOOKUP(D25,[3]Bai2_VuotQua!$D$8:$I$120,6,FALSE),"NY")</f>
        <v>done</v>
      </c>
      <c r="H25" s="2" t="str">
        <f>IFERROR(VLOOKUP(D25,[3]Bai3_VuotQua!$D$8:$I$122,6,FALSE),"NY")</f>
        <v>done</v>
      </c>
      <c r="I25" s="2" t="str">
        <f>IFERROR(VLOOKUP(D25,[3]Bai4_VuotQua!$D$8:$I$117,6,FALSE),"NY")</f>
        <v>done</v>
      </c>
      <c r="J25" s="2" t="str">
        <f t="shared" si="0"/>
        <v>done all</v>
      </c>
      <c r="K25" s="2" t="s">
        <v>27</v>
      </c>
      <c r="L25" s="2" t="s">
        <v>20</v>
      </c>
      <c r="M25" s="2" t="str">
        <f>IFERROR(VLOOKUP(D25,[2]Hồng!$D$1:$M$21,10,FALSE),0)</f>
        <v>ok</v>
      </c>
      <c r="U25"/>
      <c r="V25" t="s">
        <v>45</v>
      </c>
      <c r="W25" t="s">
        <v>76</v>
      </c>
      <c r="X25" s="3">
        <v>15</v>
      </c>
    </row>
    <row r="26" spans="1:24" x14ac:dyDescent="0.25">
      <c r="A26" s="2">
        <v>24</v>
      </c>
      <c r="B26" s="2" t="s">
        <v>130</v>
      </c>
      <c r="C26" s="2" t="s">
        <v>131</v>
      </c>
      <c r="D26" s="2" t="s">
        <v>132</v>
      </c>
      <c r="E26" s="2" t="s">
        <v>133</v>
      </c>
      <c r="F26" s="2" t="str">
        <f>IFERROR(VLOOKUP(D26,[3]Bai1_VuotQua!$D$8:$I$143,6,FALSE),"NY")</f>
        <v>done</v>
      </c>
      <c r="G26" s="2" t="str">
        <f>IFERROR(VLOOKUP(D26,[3]Bai2_VuotQua!$D$8:$I$120,6,FALSE),"NY")</f>
        <v>done</v>
      </c>
      <c r="H26" s="2" t="str">
        <f>IFERROR(VLOOKUP(D26,[3]Bai3_VuotQua!$D$8:$I$122,6,FALSE),"NY")</f>
        <v>done</v>
      </c>
      <c r="I26" s="2" t="str">
        <f>IFERROR(VLOOKUP(D26,[3]Bai4_VuotQua!$D$8:$I$117,6,FALSE),"NY")</f>
        <v>done</v>
      </c>
      <c r="J26" s="2" t="str">
        <f t="shared" si="0"/>
        <v>done all</v>
      </c>
      <c r="K26" s="2" t="s">
        <v>27</v>
      </c>
      <c r="L26" s="2" t="s">
        <v>20</v>
      </c>
      <c r="M26" s="2" t="str">
        <f>IFERROR(VLOOKUP(D26,[2]Hồng!$D$1:$M$21,10,FALSE),0)</f>
        <v>ok</v>
      </c>
      <c r="U26"/>
      <c r="V26"/>
      <c r="W26" t="s">
        <v>81</v>
      </c>
      <c r="X26" s="3">
        <v>4</v>
      </c>
    </row>
    <row r="27" spans="1:24" x14ac:dyDescent="0.25">
      <c r="A27" s="2">
        <v>25</v>
      </c>
      <c r="B27" s="2" t="s">
        <v>134</v>
      </c>
      <c r="C27" s="2" t="s">
        <v>135</v>
      </c>
      <c r="D27" s="2" t="s">
        <v>136</v>
      </c>
      <c r="E27" s="2" t="s">
        <v>137</v>
      </c>
      <c r="F27" s="2" t="str">
        <f>IFERROR(VLOOKUP(D27,[3]Bai1_VuotQua!$D$8:$I$143,6,FALSE),"NY")</f>
        <v>NY</v>
      </c>
      <c r="G27" s="2" t="str">
        <f>IFERROR(VLOOKUP(D27,[3]Bai2_VuotQua!$D$8:$I$120,6,FALSE),"NY")</f>
        <v>NY</v>
      </c>
      <c r="H27" s="2" t="str">
        <f>IFERROR(VLOOKUP(D27,[3]Bai3_VuotQua!$D$8:$I$122,6,FALSE),"NY")</f>
        <v>NY</v>
      </c>
      <c r="I27" s="2" t="str">
        <f>IFERROR(VLOOKUP(D27,[3]Bai4_VuotQua!$D$8:$I$117,6,FALSE),"NY")</f>
        <v>NY</v>
      </c>
      <c r="J27" s="2" t="str">
        <f t="shared" si="0"/>
        <v>NY</v>
      </c>
      <c r="K27" s="2" t="s">
        <v>27</v>
      </c>
      <c r="L27" s="2" t="s">
        <v>20</v>
      </c>
      <c r="M27" s="2">
        <f>IFERROR(VLOOKUP(D27,[2]Hồng!$D$1:$M$21,10,FALSE),0)</f>
        <v>0</v>
      </c>
      <c r="U27"/>
      <c r="V27"/>
      <c r="W27" t="s">
        <v>86</v>
      </c>
      <c r="X27" s="3">
        <v>12</v>
      </c>
    </row>
    <row r="28" spans="1:24" x14ac:dyDescent="0.25">
      <c r="A28" s="2">
        <v>26</v>
      </c>
      <c r="B28" s="2" t="s">
        <v>138</v>
      </c>
      <c r="C28" s="2" t="s">
        <v>139</v>
      </c>
      <c r="D28" s="2" t="s">
        <v>140</v>
      </c>
      <c r="E28" s="2" t="s">
        <v>141</v>
      </c>
      <c r="F28" s="2" t="str">
        <f>IFERROR(VLOOKUP(D28,[3]Bai1_VuotQua!$D$8:$I$143,6,FALSE),"NY")</f>
        <v>NY</v>
      </c>
      <c r="G28" s="2" t="str">
        <f>IFERROR(VLOOKUP(D28,[3]Bai2_VuotQua!$D$8:$I$120,6,FALSE),"NY")</f>
        <v>NY</v>
      </c>
      <c r="H28" s="2" t="str">
        <f>IFERROR(VLOOKUP(D28,[3]Bai3_VuotQua!$D$8:$I$122,6,FALSE),"NY")</f>
        <v>NY</v>
      </c>
      <c r="I28" s="2" t="str">
        <f>IFERROR(VLOOKUP(D28,[3]Bai4_VuotQua!$D$8:$I$117,6,FALSE),"NY")</f>
        <v>NY</v>
      </c>
      <c r="J28" s="2" t="str">
        <f t="shared" si="0"/>
        <v>NY</v>
      </c>
      <c r="K28" s="2" t="str">
        <f>VLOOKUP($D28,[1]Bai1_View!$E$2:$J$177,5,FALSE)</f>
        <v>HN</v>
      </c>
      <c r="L28" s="2" t="str">
        <f>VLOOKUP($D28,[1]Bai1_View!$E$2:$J$177,6,FALSE)</f>
        <v>C. Quy</v>
      </c>
      <c r="M28" s="2">
        <f>IFERROR(VLOOKUP(D28,[2]Hồng!$D$1:$M$21,10,FALSE),0)</f>
        <v>0</v>
      </c>
      <c r="U28"/>
      <c r="V28"/>
      <c r="W28" t="s">
        <v>91</v>
      </c>
      <c r="X28" s="3">
        <v>4</v>
      </c>
    </row>
    <row r="29" spans="1:24" x14ac:dyDescent="0.25">
      <c r="A29" s="2">
        <v>27</v>
      </c>
      <c r="B29" s="2" t="s">
        <v>142</v>
      </c>
      <c r="C29" s="2" t="s">
        <v>143</v>
      </c>
      <c r="D29" s="2" t="s">
        <v>144</v>
      </c>
      <c r="E29" s="2" t="s">
        <v>145</v>
      </c>
      <c r="F29" s="2" t="str">
        <f>IFERROR(VLOOKUP(D29,[3]Bai1_VuotQua!$D$8:$I$143,6,FALSE),"NY")</f>
        <v>done</v>
      </c>
      <c r="G29" s="2" t="str">
        <f>IFERROR(VLOOKUP(D29,[3]Bai2_VuotQua!$D$8:$I$120,6,FALSE),"NY")</f>
        <v>done</v>
      </c>
      <c r="H29" s="2" t="str">
        <f>IFERROR(VLOOKUP(D29,[3]Bai3_VuotQua!$D$8:$I$122,6,FALSE),"NY")</f>
        <v>done</v>
      </c>
      <c r="I29" s="2" t="str">
        <f>IFERROR(VLOOKUP(D29,[3]Bai4_VuotQua!$D$8:$I$117,6,FALSE),"NY")</f>
        <v>done</v>
      </c>
      <c r="J29" s="2" t="str">
        <f t="shared" si="0"/>
        <v>done all</v>
      </c>
      <c r="K29" s="2" t="str">
        <f>VLOOKUP($D29,[1]Bai1_View!$E$2:$J$177,5,FALSE)</f>
        <v>HCM</v>
      </c>
      <c r="L29" s="2" t="str">
        <f>VLOOKUP($D29,[1]Bai1_View!$E$2:$J$177,6,FALSE)</f>
        <v>A. Tri</v>
      </c>
      <c r="M29" s="2">
        <f>IFERROR(VLOOKUP(D29,[2]Hồng!$D$1:$M$21,10,FALSE),0)</f>
        <v>0</v>
      </c>
      <c r="N29"/>
      <c r="O29"/>
      <c r="P29"/>
      <c r="Q29"/>
      <c r="U29"/>
      <c r="V29" t="s">
        <v>40</v>
      </c>
      <c r="W29" t="s">
        <v>71</v>
      </c>
      <c r="X29" s="3">
        <v>5</v>
      </c>
    </row>
    <row r="30" spans="1:24" x14ac:dyDescent="0.25">
      <c r="A30" s="2">
        <v>28</v>
      </c>
      <c r="B30" s="2" t="s">
        <v>147</v>
      </c>
      <c r="C30" s="2" t="s">
        <v>148</v>
      </c>
      <c r="D30" s="2" t="s">
        <v>149</v>
      </c>
      <c r="E30" s="2" t="s">
        <v>150</v>
      </c>
      <c r="F30" s="2" t="str">
        <f>IFERROR(VLOOKUP(D30,[3]Bai1_VuotQua!$D$8:$I$143,6,FALSE),"NY")</f>
        <v>done</v>
      </c>
      <c r="G30" s="2" t="str">
        <f>IFERROR(VLOOKUP(D30,[3]Bai2_VuotQua!$D$8:$I$120,6,FALSE),"NY")</f>
        <v>NY</v>
      </c>
      <c r="H30" s="2" t="str">
        <f>IFERROR(VLOOKUP(D30,[3]Bai3_VuotQua!$D$8:$I$122,6,FALSE),"NY")</f>
        <v>NY</v>
      </c>
      <c r="I30" s="2" t="str">
        <f>IFERROR(VLOOKUP(D30,[3]Bai4_VuotQua!$D$8:$I$117,6,FALSE),"NY")</f>
        <v>NY</v>
      </c>
      <c r="J30" s="2" t="str">
        <f t="shared" si="0"/>
        <v>done 1 lession</v>
      </c>
      <c r="K30" s="2" t="str">
        <f>VLOOKUP($D30,[1]Bai1_View!$E$2:$J$177,5,FALSE)</f>
        <v>HCM</v>
      </c>
      <c r="L30" s="2" t="str">
        <f>VLOOKUP($D30,[1]Bai1_View!$E$2:$J$177,6,FALSE)</f>
        <v>A. Tri</v>
      </c>
      <c r="M30" s="2">
        <f>IFERROR(VLOOKUP(D30,[2]Hồng!$D$1:$M$21,10,FALSE),0)</f>
        <v>0</v>
      </c>
      <c r="N30"/>
      <c r="O30"/>
      <c r="P30"/>
      <c r="Q30"/>
      <c r="U30"/>
      <c r="V30"/>
      <c r="W30" t="s">
        <v>146</v>
      </c>
      <c r="X30" s="3">
        <v>1</v>
      </c>
    </row>
    <row r="31" spans="1:24" x14ac:dyDescent="0.25">
      <c r="A31" s="2">
        <v>29</v>
      </c>
      <c r="B31" s="2" t="s">
        <v>151</v>
      </c>
      <c r="C31" s="2" t="s">
        <v>152</v>
      </c>
      <c r="D31" s="2" t="s">
        <v>153</v>
      </c>
      <c r="E31" s="2" t="s">
        <v>154</v>
      </c>
      <c r="F31" s="2" t="str">
        <f>IFERROR(VLOOKUP(D31,[3]Bai1_VuotQua!$D$8:$I$143,6,FALSE),"NY")</f>
        <v>done</v>
      </c>
      <c r="G31" s="2" t="str">
        <f>IFERROR(VLOOKUP(D31,[3]Bai2_VuotQua!$D$8:$I$120,6,FALSE),"NY")</f>
        <v>NY</v>
      </c>
      <c r="H31" s="2" t="str">
        <f>IFERROR(VLOOKUP(D31,[3]Bai3_VuotQua!$D$8:$I$122,6,FALSE),"NY")</f>
        <v>NY</v>
      </c>
      <c r="I31" s="2" t="str">
        <f>IFERROR(VLOOKUP(D31,[3]Bai4_VuotQua!$D$8:$I$117,6,FALSE),"NY")</f>
        <v>done</v>
      </c>
      <c r="J31" s="2" t="str">
        <f t="shared" si="0"/>
        <v>done 2 lession</v>
      </c>
      <c r="K31" s="2" t="str">
        <f>VLOOKUP($D31,[1]Bai1_View!$E$2:$J$177,5,FALSE)</f>
        <v>Đồng Tháp</v>
      </c>
      <c r="L31" s="2" t="str">
        <f>VLOOKUP($D31,[1]Bai1_View!$E$2:$J$177,6,FALSE)</f>
        <v>A. Tho</v>
      </c>
      <c r="M31" s="2">
        <f>IFERROR(VLOOKUP(D31,[2]Hồng!$D$1:$M$21,10,FALSE),0)</f>
        <v>0</v>
      </c>
      <c r="N31"/>
      <c r="O31"/>
      <c r="P31"/>
      <c r="Q31"/>
      <c r="U31"/>
      <c r="V31"/>
      <c r="W31" t="s">
        <v>76</v>
      </c>
      <c r="X31" s="3">
        <v>4</v>
      </c>
    </row>
    <row r="32" spans="1:24" x14ac:dyDescent="0.25">
      <c r="A32" s="2">
        <v>30</v>
      </c>
      <c r="B32" s="2" t="s">
        <v>155</v>
      </c>
      <c r="C32" s="2" t="s">
        <v>156</v>
      </c>
      <c r="D32" s="2" t="s">
        <v>157</v>
      </c>
      <c r="E32" s="2" t="s">
        <v>158</v>
      </c>
      <c r="F32" s="2" t="str">
        <f>IFERROR(VLOOKUP(D32,[3]Bai1_VuotQua!$D$8:$I$143,6,FALSE),"NY")</f>
        <v>done</v>
      </c>
      <c r="G32" s="2" t="str">
        <f>IFERROR(VLOOKUP(D32,[3]Bai2_VuotQua!$D$8:$I$120,6,FALSE),"NY")</f>
        <v>done</v>
      </c>
      <c r="H32" s="2" t="str">
        <f>IFERROR(VLOOKUP(D32,[3]Bai3_VuotQua!$D$8:$I$122,6,FALSE),"NY")</f>
        <v>done</v>
      </c>
      <c r="I32" s="2" t="str">
        <f>IFERROR(VLOOKUP(D32,[3]Bai4_VuotQua!$D$8:$I$117,6,FALSE),"NY")</f>
        <v>done</v>
      </c>
      <c r="J32" s="2" t="str">
        <f t="shared" si="0"/>
        <v>done all</v>
      </c>
      <c r="K32" s="2" t="s">
        <v>27</v>
      </c>
      <c r="L32" s="2" t="s">
        <v>20</v>
      </c>
      <c r="M32" s="2">
        <f>IFERROR(VLOOKUP(D32,[2]Hồng!$D$1:$M$21,10,FALSE),0)</f>
        <v>0</v>
      </c>
      <c r="N32"/>
      <c r="O32"/>
      <c r="P32"/>
      <c r="Q32"/>
      <c r="U32"/>
      <c r="V32"/>
      <c r="W32" t="s">
        <v>81</v>
      </c>
      <c r="X32" s="3">
        <v>7</v>
      </c>
    </row>
    <row r="33" spans="1:24" x14ac:dyDescent="0.25">
      <c r="A33" s="2">
        <v>31</v>
      </c>
      <c r="B33" s="2" t="s">
        <v>159</v>
      </c>
      <c r="C33" s="2" t="s">
        <v>160</v>
      </c>
      <c r="D33" s="2" t="s">
        <v>161</v>
      </c>
      <c r="E33" s="2" t="s">
        <v>162</v>
      </c>
      <c r="F33" s="2" t="str">
        <f>IFERROR(VLOOKUP(D33,[3]Bai1_VuotQua!$D$8:$I$143,6,FALSE),"NY")</f>
        <v>done</v>
      </c>
      <c r="G33" s="2" t="str">
        <f>IFERROR(VLOOKUP(D33,[3]Bai2_VuotQua!$D$8:$I$120,6,FALSE),"NY")</f>
        <v>NY</v>
      </c>
      <c r="H33" s="2" t="str">
        <f>IFERROR(VLOOKUP(D33,[3]Bai3_VuotQua!$D$8:$I$122,6,FALSE),"NY")</f>
        <v>NY</v>
      </c>
      <c r="I33" s="2" t="str">
        <f>IFERROR(VLOOKUP(D33,[3]Bai4_VuotQua!$D$8:$I$117,6,FALSE),"NY")</f>
        <v>NY</v>
      </c>
      <c r="J33" s="2" t="str">
        <f t="shared" si="0"/>
        <v>done 1 lession</v>
      </c>
      <c r="K33" s="2" t="str">
        <f>VLOOKUP($D33,[1]Bai1_View!$E$2:$J$177,5,FALSE)</f>
        <v>Cần Thơ</v>
      </c>
      <c r="L33" s="2" t="str">
        <f>VLOOKUP($D33,[1]Bai1_View!$E$2:$J$177,6,FALSE)</f>
        <v>A. Tho</v>
      </c>
      <c r="M33" s="2">
        <f>IFERROR(VLOOKUP(D33,[2]Hồng!$D$1:$M$21,10,FALSE),0)</f>
        <v>0</v>
      </c>
      <c r="N33"/>
      <c r="O33"/>
      <c r="P33"/>
      <c r="Q33"/>
      <c r="U33"/>
      <c r="V33"/>
      <c r="W33" t="s">
        <v>108</v>
      </c>
      <c r="X33" s="3">
        <v>1</v>
      </c>
    </row>
    <row r="34" spans="1:24" x14ac:dyDescent="0.25">
      <c r="A34" s="2">
        <v>32</v>
      </c>
      <c r="B34" s="2" t="s">
        <v>163</v>
      </c>
      <c r="C34" s="2" t="s">
        <v>164</v>
      </c>
      <c r="D34" s="2" t="s">
        <v>165</v>
      </c>
      <c r="E34" s="2" t="s">
        <v>166</v>
      </c>
      <c r="F34" s="2" t="str">
        <f>IFERROR(VLOOKUP(D34,[3]Bai1_VuotQua!$D$8:$I$143,6,FALSE),"NY")</f>
        <v>done</v>
      </c>
      <c r="G34" s="2" t="str">
        <f>IFERROR(VLOOKUP(D34,[3]Bai2_VuotQua!$D$8:$I$120,6,FALSE),"NY")</f>
        <v>done</v>
      </c>
      <c r="H34" s="2" t="str">
        <f>IFERROR(VLOOKUP(D34,[3]Bai3_VuotQua!$D$8:$I$122,6,FALSE),"NY")</f>
        <v>done</v>
      </c>
      <c r="I34" s="2" t="str">
        <f>IFERROR(VLOOKUP(D34,[3]Bai4_VuotQua!$D$8:$I$117,6,FALSE),"NY")</f>
        <v>done</v>
      </c>
      <c r="J34" s="2" t="str">
        <f t="shared" si="0"/>
        <v>done all</v>
      </c>
      <c r="K34" s="2" t="str">
        <f>VLOOKUP($D34,[1]Bai1_View!$E$2:$J$177,5,FALSE)</f>
        <v>HCM</v>
      </c>
      <c r="L34" s="2" t="str">
        <f>VLOOKUP($D34,[1]Bai1_View!$E$2:$J$177,6,FALSE)</f>
        <v>A. Tri</v>
      </c>
      <c r="M34" s="2">
        <f>IFERROR(VLOOKUP(D34,[2]Hồng!$D$1:$M$21,10,FALSE),0)</f>
        <v>0</v>
      </c>
      <c r="N34"/>
      <c r="O34"/>
      <c r="P34"/>
      <c r="Q34"/>
      <c r="U34"/>
      <c r="V34"/>
      <c r="W34" t="s">
        <v>91</v>
      </c>
      <c r="X34" s="3">
        <v>6</v>
      </c>
    </row>
    <row r="35" spans="1:24" x14ac:dyDescent="0.25">
      <c r="A35" s="2">
        <v>33</v>
      </c>
      <c r="B35" s="2" t="s">
        <v>167</v>
      </c>
      <c r="C35" s="2" t="s">
        <v>168</v>
      </c>
      <c r="D35" s="2" t="s">
        <v>169</v>
      </c>
      <c r="E35" s="2" t="s">
        <v>170</v>
      </c>
      <c r="F35" s="2" t="str">
        <f>IFERROR(VLOOKUP(D35,[3]Bai1_VuotQua!$D$8:$I$143,6,FALSE),"NY")</f>
        <v>done</v>
      </c>
      <c r="G35" s="2" t="str">
        <f>IFERROR(VLOOKUP(D35,[3]Bai2_VuotQua!$D$8:$I$120,6,FALSE),"NY")</f>
        <v>done</v>
      </c>
      <c r="H35" s="2" t="str">
        <f>IFERROR(VLOOKUP(D35,[3]Bai3_VuotQua!$D$8:$I$122,6,FALSE),"NY")</f>
        <v>done</v>
      </c>
      <c r="I35" s="2" t="str">
        <f>IFERROR(VLOOKUP(D35,[3]Bai4_VuotQua!$D$8:$I$117,6,FALSE),"NY")</f>
        <v>done</v>
      </c>
      <c r="J35" s="2" t="str">
        <f t="shared" si="0"/>
        <v>done all</v>
      </c>
      <c r="K35" s="2" t="str">
        <f>VLOOKUP($D35,[1]Bai1_View!$E$2:$J$177,5,FALSE)</f>
        <v>HN</v>
      </c>
      <c r="L35" s="2" t="str">
        <f>VLOOKUP($D35,[1]Bai1_View!$E$2:$J$177,6,FALSE)</f>
        <v>C. Quy</v>
      </c>
      <c r="M35" s="2">
        <f>IFERROR(VLOOKUP(D35,[2]Hồng!$D$1:$M$21,10,FALSE),0)</f>
        <v>0</v>
      </c>
      <c r="N35"/>
      <c r="O35"/>
      <c r="P35"/>
      <c r="Q35"/>
      <c r="U35" s="4" t="s">
        <v>171</v>
      </c>
      <c r="V35" s="4"/>
      <c r="W35" s="4"/>
      <c r="X35" s="5">
        <v>84</v>
      </c>
    </row>
    <row r="36" spans="1:24" x14ac:dyDescent="0.25">
      <c r="A36" s="2">
        <v>34</v>
      </c>
      <c r="B36" s="2" t="s">
        <v>172</v>
      </c>
      <c r="C36" s="2" t="s">
        <v>173</v>
      </c>
      <c r="D36" s="2" t="s">
        <v>174</v>
      </c>
      <c r="E36" s="2" t="s">
        <v>175</v>
      </c>
      <c r="F36" s="2" t="str">
        <f>IFERROR(VLOOKUP(D36,[3]Bai1_VuotQua!$D$8:$I$143,6,FALSE),"NY")</f>
        <v>NY</v>
      </c>
      <c r="G36" s="2" t="str">
        <f>IFERROR(VLOOKUP(D36,[3]Bai2_VuotQua!$D$8:$I$120,6,FALSE),"NY")</f>
        <v>NY</v>
      </c>
      <c r="H36" s="2" t="str">
        <f>IFERROR(VLOOKUP(D36,[3]Bai3_VuotQua!$D$8:$I$122,6,FALSE),"NY")</f>
        <v>NY</v>
      </c>
      <c r="I36" s="2" t="str">
        <f>IFERROR(VLOOKUP(D36,[3]Bai4_VuotQua!$D$8:$I$117,6,FALSE),"NY")</f>
        <v>NY</v>
      </c>
      <c r="J36" s="2" t="str">
        <f t="shared" si="0"/>
        <v>NY</v>
      </c>
      <c r="K36" s="2" t="s">
        <v>27</v>
      </c>
      <c r="L36" s="2" t="s">
        <v>20</v>
      </c>
      <c r="M36" s="2">
        <f>IFERROR(VLOOKUP(D36,[2]Hồng!$D$1:$M$21,10,FALSE),0)</f>
        <v>0</v>
      </c>
      <c r="N36"/>
      <c r="O36"/>
      <c r="P36"/>
      <c r="Q36"/>
      <c r="U36" t="s">
        <v>19</v>
      </c>
      <c r="V36" t="s">
        <v>28</v>
      </c>
      <c r="W36" t="s">
        <v>125</v>
      </c>
      <c r="X36" s="3">
        <v>9</v>
      </c>
    </row>
    <row r="37" spans="1:24" x14ac:dyDescent="0.25">
      <c r="A37" s="2">
        <v>35</v>
      </c>
      <c r="B37" s="2" t="s">
        <v>176</v>
      </c>
      <c r="C37" s="2" t="s">
        <v>177</v>
      </c>
      <c r="D37" s="2" t="s">
        <v>178</v>
      </c>
      <c r="E37" s="2" t="s">
        <v>179</v>
      </c>
      <c r="F37" s="2" t="str">
        <f>IFERROR(VLOOKUP(D37,[3]Bai1_VuotQua!$D$8:$I$143,6,FALSE),"NY")</f>
        <v>done</v>
      </c>
      <c r="G37" s="2" t="str">
        <f>IFERROR(VLOOKUP(D37,[3]Bai2_VuotQua!$D$8:$I$120,6,FALSE),"NY")</f>
        <v>done</v>
      </c>
      <c r="H37" s="2" t="str">
        <f>IFERROR(VLOOKUP(D37,[3]Bai3_VuotQua!$D$8:$I$122,6,FALSE),"NY")</f>
        <v>done</v>
      </c>
      <c r="I37" s="2" t="str">
        <f>IFERROR(VLOOKUP(D37,[3]Bai4_VuotQua!$D$8:$I$117,6,FALSE),"NY")</f>
        <v>done</v>
      </c>
      <c r="J37" s="2" t="str">
        <f t="shared" si="0"/>
        <v>done all</v>
      </c>
      <c r="K37" s="2" t="s">
        <v>27</v>
      </c>
      <c r="L37" s="2" t="s">
        <v>20</v>
      </c>
      <c r="M37" s="2">
        <f>IFERROR(VLOOKUP(D37,[2]Hồng!$D$1:$M$21,10,FALSE),0)</f>
        <v>0</v>
      </c>
      <c r="N37"/>
      <c r="O37"/>
      <c r="P37"/>
      <c r="Q37"/>
      <c r="U37"/>
      <c r="V37" t="s">
        <v>34</v>
      </c>
      <c r="W37" t="s">
        <v>125</v>
      </c>
      <c r="X37" s="3">
        <v>4</v>
      </c>
    </row>
    <row r="38" spans="1:24" x14ac:dyDescent="0.25">
      <c r="A38" s="2">
        <v>36</v>
      </c>
      <c r="B38" s="2" t="s">
        <v>180</v>
      </c>
      <c r="C38" s="2" t="s">
        <v>181</v>
      </c>
      <c r="D38" s="2" t="s">
        <v>182</v>
      </c>
      <c r="E38" s="2" t="s">
        <v>183</v>
      </c>
      <c r="F38" s="2" t="str">
        <f>IFERROR(VLOOKUP(D38,[3]Bai1_VuotQua!$D$8:$I$143,6,FALSE),"NY")</f>
        <v>done</v>
      </c>
      <c r="G38" s="2" t="str">
        <f>IFERROR(VLOOKUP(D38,[3]Bai2_VuotQua!$D$8:$I$120,6,FALSE),"NY")</f>
        <v>NY</v>
      </c>
      <c r="H38" s="2" t="str">
        <f>IFERROR(VLOOKUP(D38,[3]Bai3_VuotQua!$D$8:$I$122,6,FALSE),"NY")</f>
        <v>NY</v>
      </c>
      <c r="I38" s="2" t="str">
        <f>IFERROR(VLOOKUP(D38,[3]Bai4_VuotQua!$D$8:$I$117,6,FALSE),"NY")</f>
        <v>NY</v>
      </c>
      <c r="J38" s="2" t="str">
        <f t="shared" si="0"/>
        <v>done 1 lession</v>
      </c>
      <c r="K38" s="2" t="str">
        <f>VLOOKUP($D38,[1]Bai1_View!$E$2:$J$177,5,FALSE)</f>
        <v>An Giang</v>
      </c>
      <c r="L38" s="2" t="str">
        <f>VLOOKUP($D38,[1]Bai1_View!$E$2:$J$177,6,FALSE)</f>
        <v>A. Tho</v>
      </c>
      <c r="M38" s="2">
        <f>IFERROR(VLOOKUP(D38,[2]Hồng!$D$1:$M$21,10,FALSE),0)</f>
        <v>0</v>
      </c>
      <c r="N38"/>
      <c r="O38"/>
      <c r="P38"/>
      <c r="Q38"/>
      <c r="U38"/>
      <c r="V38" t="s">
        <v>39</v>
      </c>
      <c r="W38" t="s">
        <v>125</v>
      </c>
      <c r="X38" s="3">
        <v>4</v>
      </c>
    </row>
    <row r="39" spans="1:24" x14ac:dyDescent="0.25">
      <c r="A39" s="2">
        <v>37</v>
      </c>
      <c r="B39" s="2" t="s">
        <v>184</v>
      </c>
      <c r="C39" s="2" t="s">
        <v>185</v>
      </c>
      <c r="D39" s="2" t="s">
        <v>186</v>
      </c>
      <c r="E39" s="2" t="s">
        <v>187</v>
      </c>
      <c r="F39" s="2" t="str">
        <f>IFERROR(VLOOKUP(D39,[3]Bai1_VuotQua!$D$8:$I$143,6,FALSE),"NY")</f>
        <v>done</v>
      </c>
      <c r="G39" s="2" t="str">
        <f>IFERROR(VLOOKUP(D39,[3]Bai2_VuotQua!$D$8:$I$120,6,FALSE),"NY")</f>
        <v>done</v>
      </c>
      <c r="H39" s="2" t="str">
        <f>IFERROR(VLOOKUP(D39,[3]Bai3_VuotQua!$D$8:$I$122,6,FALSE),"NY")</f>
        <v>done</v>
      </c>
      <c r="I39" s="2" t="str">
        <f>IFERROR(VLOOKUP(D39,[3]Bai4_VuotQua!$D$8:$I$117,6,FALSE),"NY")</f>
        <v>done</v>
      </c>
      <c r="J39" s="2" t="str">
        <f t="shared" si="0"/>
        <v>done all</v>
      </c>
      <c r="K39" s="2" t="str">
        <f>VLOOKUP($D39,[1]Bai1_View!$E$2:$J$177,5,FALSE)</f>
        <v>HCM</v>
      </c>
      <c r="L39" s="2" t="str">
        <f>VLOOKUP($D39,[1]Bai1_View!$E$2:$J$177,6,FALSE)</f>
        <v>A. Tri</v>
      </c>
      <c r="M39" s="2">
        <f>IFERROR(VLOOKUP(D39,[2]Hồng!$D$1:$M$21,10,FALSE),0)</f>
        <v>0</v>
      </c>
      <c r="N39"/>
      <c r="O39"/>
      <c r="P39"/>
      <c r="Q39"/>
      <c r="U39"/>
      <c r="V39" t="s">
        <v>45</v>
      </c>
      <c r="W39" t="s">
        <v>125</v>
      </c>
      <c r="X39" s="3">
        <v>17</v>
      </c>
    </row>
    <row r="40" spans="1:24" x14ac:dyDescent="0.25">
      <c r="A40" s="2">
        <v>38</v>
      </c>
      <c r="B40" s="2" t="s">
        <v>188</v>
      </c>
      <c r="C40" s="2" t="s">
        <v>189</v>
      </c>
      <c r="D40" s="2" t="s">
        <v>190</v>
      </c>
      <c r="E40" s="2" t="s">
        <v>191</v>
      </c>
      <c r="F40" s="2" t="str">
        <f>IFERROR(VLOOKUP(D40,[3]Bai1_VuotQua!$D$8:$I$143,6,FALSE),"NY")</f>
        <v>done</v>
      </c>
      <c r="G40" s="2" t="str">
        <f>IFERROR(VLOOKUP(D40,[3]Bai2_VuotQua!$D$8:$I$120,6,FALSE),"NY")</f>
        <v>NY</v>
      </c>
      <c r="H40" s="2" t="str">
        <f>IFERROR(VLOOKUP(D40,[3]Bai3_VuotQua!$D$8:$I$122,6,FALSE),"NY")</f>
        <v>NY</v>
      </c>
      <c r="I40" s="2" t="str">
        <f>IFERROR(VLOOKUP(D40,[3]Bai4_VuotQua!$D$8:$I$117,6,FALSE),"NY")</f>
        <v>NY</v>
      </c>
      <c r="J40" s="2" t="str">
        <f t="shared" si="0"/>
        <v>done 1 lession</v>
      </c>
      <c r="K40" s="2" t="str">
        <f>VLOOKUP($D40,[1]Bai1_View!$E$2:$J$177,5,FALSE)</f>
        <v>Đăk Lăk</v>
      </c>
      <c r="L40" s="2" t="str">
        <f>VLOOKUP($D40,[1]Bai1_View!$E$2:$J$177,6,FALSE)</f>
        <v>A. Tho</v>
      </c>
      <c r="M40" s="2">
        <f>IFERROR(VLOOKUP(D40,[2]Hồng!$D$1:$M$21,10,FALSE),0)</f>
        <v>0</v>
      </c>
      <c r="N40"/>
      <c r="O40"/>
      <c r="P40"/>
      <c r="Q40"/>
      <c r="U40"/>
      <c r="V40" t="s">
        <v>40</v>
      </c>
      <c r="W40" t="s">
        <v>125</v>
      </c>
      <c r="X40" s="3">
        <v>45</v>
      </c>
    </row>
    <row r="41" spans="1:24" x14ac:dyDescent="0.25">
      <c r="A41" s="2">
        <v>39</v>
      </c>
      <c r="B41" s="2" t="s">
        <v>192</v>
      </c>
      <c r="C41" s="2" t="s">
        <v>193</v>
      </c>
      <c r="D41" s="2" t="s">
        <v>194</v>
      </c>
      <c r="E41" s="2" t="s">
        <v>195</v>
      </c>
      <c r="F41" s="2" t="str">
        <f>IFERROR(VLOOKUP(D41,[3]Bai1_VuotQua!$D$8:$I$143,6,FALSE),"NY")</f>
        <v>done</v>
      </c>
      <c r="G41" s="2" t="str">
        <f>IFERROR(VLOOKUP(D41,[3]Bai2_VuotQua!$D$8:$I$120,6,FALSE),"NY")</f>
        <v>done</v>
      </c>
      <c r="H41" s="2" t="str">
        <f>IFERROR(VLOOKUP(D41,[3]Bai3_VuotQua!$D$8:$I$122,6,FALSE),"NY")</f>
        <v>done</v>
      </c>
      <c r="I41" s="2" t="str">
        <f>IFERROR(VLOOKUP(D41,[3]Bai4_VuotQua!$D$8:$I$117,6,FALSE),"NY")</f>
        <v>done</v>
      </c>
      <c r="J41" s="2" t="str">
        <f t="shared" si="0"/>
        <v>done all</v>
      </c>
      <c r="K41" s="2" t="str">
        <f>VLOOKUP($D41,[1]Bai1_View!$E$2:$J$177,5,FALSE)</f>
        <v>Đồng Nai</v>
      </c>
      <c r="L41" s="2" t="str">
        <f>VLOOKUP($D41,[1]Bai1_View!$E$2:$J$177,6,FALSE)</f>
        <v>A. Tho</v>
      </c>
      <c r="M41" s="2">
        <f>IFERROR(VLOOKUP(D41,[2]Hồng!$D$1:$M$21,10,FALSE),0)</f>
        <v>0</v>
      </c>
      <c r="N41"/>
      <c r="O41"/>
      <c r="P41"/>
      <c r="Q41"/>
      <c r="U41" s="4" t="s">
        <v>196</v>
      </c>
      <c r="V41" s="4"/>
      <c r="W41" s="4"/>
      <c r="X41" s="5">
        <v>79</v>
      </c>
    </row>
    <row r="42" spans="1:24" x14ac:dyDescent="0.25">
      <c r="A42" s="2">
        <v>40</v>
      </c>
      <c r="B42" s="2" t="s">
        <v>197</v>
      </c>
      <c r="C42" s="2" t="s">
        <v>198</v>
      </c>
      <c r="D42" s="2" t="s">
        <v>199</v>
      </c>
      <c r="E42" s="2" t="s">
        <v>200</v>
      </c>
      <c r="F42" s="2" t="str">
        <f>IFERROR(VLOOKUP(D42,[3]Bai1_VuotQua!$D$8:$I$143,6,FALSE),"NY")</f>
        <v>done</v>
      </c>
      <c r="G42" s="2" t="str">
        <f>IFERROR(VLOOKUP(D42,[3]Bai2_VuotQua!$D$8:$I$120,6,FALSE),"NY")</f>
        <v>done</v>
      </c>
      <c r="H42" s="2" t="str">
        <f>IFERROR(VLOOKUP(D42,[3]Bai3_VuotQua!$D$8:$I$122,6,FALSE),"NY")</f>
        <v>done</v>
      </c>
      <c r="I42" s="2" t="str">
        <f>IFERROR(VLOOKUP(D42,[3]Bai4_VuotQua!$D$8:$I$117,6,FALSE),"NY")</f>
        <v>done</v>
      </c>
      <c r="J42" s="2" t="str">
        <f t="shared" si="0"/>
        <v>done all</v>
      </c>
      <c r="K42" s="2" t="s">
        <v>27</v>
      </c>
      <c r="L42" s="2" t="s">
        <v>20</v>
      </c>
      <c r="M42" s="2" t="str">
        <f>IFERROR(VLOOKUP(D42,[2]Hồng!$D$1:$M$21,10,FALSE),0)</f>
        <v>ok</v>
      </c>
      <c r="N42"/>
      <c r="O42"/>
      <c r="P42"/>
      <c r="Q42"/>
      <c r="U42" t="s">
        <v>20</v>
      </c>
      <c r="V42" t="s">
        <v>28</v>
      </c>
      <c r="W42" t="s">
        <v>27</v>
      </c>
      <c r="X42" s="3">
        <v>14</v>
      </c>
    </row>
    <row r="43" spans="1:24" x14ac:dyDescent="0.25">
      <c r="A43" s="2">
        <v>41</v>
      </c>
      <c r="B43" s="2" t="s">
        <v>201</v>
      </c>
      <c r="C43" s="2" t="s">
        <v>202</v>
      </c>
      <c r="D43" s="2" t="s">
        <v>203</v>
      </c>
      <c r="E43" s="2" t="s">
        <v>204</v>
      </c>
      <c r="F43" s="2" t="str">
        <f>IFERROR(VLOOKUP(D43,[3]Bai1_VuotQua!$D$8:$I$143,6,FALSE),"NY")</f>
        <v>NY</v>
      </c>
      <c r="G43" s="2" t="str">
        <f>IFERROR(VLOOKUP(D43,[3]Bai2_VuotQua!$D$8:$I$120,6,FALSE),"NY")</f>
        <v>NY</v>
      </c>
      <c r="H43" s="2" t="str">
        <f>IFERROR(VLOOKUP(D43,[3]Bai3_VuotQua!$D$8:$I$122,6,FALSE),"NY")</f>
        <v>NY</v>
      </c>
      <c r="I43" s="2" t="str">
        <f>IFERROR(VLOOKUP(D43,[3]Bai4_VuotQua!$D$8:$I$117,6,FALSE),"NY")</f>
        <v>NY</v>
      </c>
      <c r="J43" s="2" t="str">
        <f t="shared" si="0"/>
        <v>NY</v>
      </c>
      <c r="K43" s="2" t="str">
        <f>VLOOKUP($D43,[1]Bai1_View!$E$2:$J$177,5,FALSE)</f>
        <v>HCM</v>
      </c>
      <c r="L43" s="2" t="str">
        <f>VLOOKUP($D43,[1]Bai1_View!$E$2:$J$177,6,FALSE)</f>
        <v>A. Tri</v>
      </c>
      <c r="M43" s="2">
        <f>IFERROR(VLOOKUP(D43,[2]Hồng!$D$1:$M$21,10,FALSE),0)</f>
        <v>0</v>
      </c>
      <c r="N43"/>
      <c r="O43"/>
      <c r="P43"/>
      <c r="Q43"/>
      <c r="U43"/>
      <c r="V43" t="s">
        <v>34</v>
      </c>
      <c r="W43" t="s">
        <v>27</v>
      </c>
      <c r="X43" s="3">
        <v>6</v>
      </c>
    </row>
    <row r="44" spans="1:24" x14ac:dyDescent="0.25">
      <c r="A44" s="2">
        <v>42</v>
      </c>
      <c r="B44" s="2" t="s">
        <v>205</v>
      </c>
      <c r="C44" s="2" t="s">
        <v>206</v>
      </c>
      <c r="D44" s="2" t="s">
        <v>207</v>
      </c>
      <c r="E44" s="2" t="s">
        <v>208</v>
      </c>
      <c r="F44" s="2" t="str">
        <f>IFERROR(VLOOKUP(D44,[3]Bai1_VuotQua!$D$8:$I$143,6,FALSE),"NY")</f>
        <v>done</v>
      </c>
      <c r="G44" s="2" t="str">
        <f>IFERROR(VLOOKUP(D44,[3]Bai2_VuotQua!$D$8:$I$120,6,FALSE),"NY")</f>
        <v>NY</v>
      </c>
      <c r="H44" s="2" t="str">
        <f>IFERROR(VLOOKUP(D44,[3]Bai3_VuotQua!$D$8:$I$122,6,FALSE),"NY")</f>
        <v>NY</v>
      </c>
      <c r="I44" s="2" t="str">
        <f>IFERROR(VLOOKUP(D44,[3]Bai4_VuotQua!$D$8:$I$117,6,FALSE),"NY")</f>
        <v>NY</v>
      </c>
      <c r="J44" s="2" t="str">
        <f t="shared" si="0"/>
        <v>done 1 lession</v>
      </c>
      <c r="K44" s="2" t="str">
        <f>VLOOKUP($D44,[1]Bai1_View!$E$2:$J$177,5,FALSE)</f>
        <v>HN</v>
      </c>
      <c r="L44" s="2" t="str">
        <f>VLOOKUP($D44,[1]Bai1_View!$E$2:$J$177,6,FALSE)</f>
        <v>C. Quy</v>
      </c>
      <c r="M44" s="2">
        <f>IFERROR(VLOOKUP(D44,[2]Hồng!$D$1:$M$21,10,FALSE),0)</f>
        <v>0</v>
      </c>
      <c r="N44"/>
      <c r="O44"/>
      <c r="P44"/>
      <c r="Q44"/>
      <c r="U44"/>
      <c r="V44" t="s">
        <v>39</v>
      </c>
      <c r="W44" t="s">
        <v>27</v>
      </c>
      <c r="X44" s="3">
        <v>5</v>
      </c>
    </row>
    <row r="45" spans="1:24" x14ac:dyDescent="0.25">
      <c r="A45" s="2">
        <v>43</v>
      </c>
      <c r="B45" s="2" t="s">
        <v>209</v>
      </c>
      <c r="C45" s="2" t="s">
        <v>210</v>
      </c>
      <c r="D45" s="2" t="s">
        <v>211</v>
      </c>
      <c r="E45" s="2" t="s">
        <v>212</v>
      </c>
      <c r="F45" s="2" t="str">
        <f>IFERROR(VLOOKUP(D45,[3]Bai1_VuotQua!$D$8:$I$143,6,FALSE),"NY")</f>
        <v>NY</v>
      </c>
      <c r="G45" s="2" t="str">
        <f>IFERROR(VLOOKUP(D45,[3]Bai2_VuotQua!$D$8:$I$120,6,FALSE),"NY")</f>
        <v>NY</v>
      </c>
      <c r="H45" s="2" t="str">
        <f>IFERROR(VLOOKUP(D45,[3]Bai3_VuotQua!$D$8:$I$122,6,FALSE),"NY")</f>
        <v>NY</v>
      </c>
      <c r="I45" s="2" t="str">
        <f>IFERROR(VLOOKUP(D45,[3]Bai4_VuotQua!$D$8:$I$117,6,FALSE),"NY")</f>
        <v>NY</v>
      </c>
      <c r="J45" s="2" t="str">
        <f t="shared" si="0"/>
        <v>NY</v>
      </c>
      <c r="K45" s="2" t="s">
        <v>46</v>
      </c>
      <c r="L45" s="2" t="s">
        <v>17</v>
      </c>
      <c r="M45" s="2">
        <f>IFERROR(VLOOKUP(D45,[2]Hồng!$D$1:$M$21,10,FALSE),0)</f>
        <v>0</v>
      </c>
      <c r="N45"/>
      <c r="O45"/>
      <c r="P45"/>
      <c r="Q45"/>
      <c r="U45"/>
      <c r="V45" t="s">
        <v>45</v>
      </c>
      <c r="W45" t="s">
        <v>27</v>
      </c>
      <c r="X45" s="3">
        <v>40</v>
      </c>
    </row>
    <row r="46" spans="1:24" x14ac:dyDescent="0.25">
      <c r="A46" s="2">
        <v>44</v>
      </c>
      <c r="B46" s="2" t="s">
        <v>213</v>
      </c>
      <c r="C46" s="2" t="s">
        <v>214</v>
      </c>
      <c r="D46" s="2" t="s">
        <v>215</v>
      </c>
      <c r="E46" s="2" t="s">
        <v>216</v>
      </c>
      <c r="F46" s="2" t="str">
        <f>IFERROR(VLOOKUP(D46,[3]Bai1_VuotQua!$D$8:$I$143,6,FALSE),"NY")</f>
        <v>NY</v>
      </c>
      <c r="G46" s="2" t="str">
        <f>IFERROR(VLOOKUP(D46,[3]Bai2_VuotQua!$D$8:$I$120,6,FALSE),"NY")</f>
        <v>NY</v>
      </c>
      <c r="H46" s="2" t="str">
        <f>IFERROR(VLOOKUP(D46,[3]Bai3_VuotQua!$D$8:$I$122,6,FALSE),"NY")</f>
        <v>NY</v>
      </c>
      <c r="I46" s="2" t="str">
        <f>IFERROR(VLOOKUP(D46,[3]Bai4_VuotQua!$D$8:$I$117,6,FALSE),"NY")</f>
        <v>NY</v>
      </c>
      <c r="J46" s="2" t="str">
        <f t="shared" si="0"/>
        <v>NY</v>
      </c>
      <c r="K46" s="2" t="str">
        <f>VLOOKUP($D46,[1]Bai1_View!$E$2:$J$177,5,FALSE)</f>
        <v>HCM</v>
      </c>
      <c r="L46" s="2" t="str">
        <f>VLOOKUP($D46,[1]Bai1_View!$E$2:$J$177,6,FALSE)</f>
        <v>A. Tri</v>
      </c>
      <c r="M46" s="2">
        <f>IFERROR(VLOOKUP(D46,[2]Hồng!$D$1:$M$21,10,FALSE),0)</f>
        <v>0</v>
      </c>
      <c r="N46"/>
      <c r="O46"/>
      <c r="P46"/>
      <c r="Q46"/>
      <c r="U46"/>
      <c r="V46" t="s">
        <v>40</v>
      </c>
      <c r="W46" t="s">
        <v>27</v>
      </c>
      <c r="X46" s="3">
        <v>43</v>
      </c>
    </row>
    <row r="47" spans="1:24" x14ac:dyDescent="0.25">
      <c r="A47" s="2">
        <v>45</v>
      </c>
      <c r="B47" s="2" t="s">
        <v>217</v>
      </c>
      <c r="C47" s="2" t="s">
        <v>218</v>
      </c>
      <c r="D47" s="2" t="s">
        <v>219</v>
      </c>
      <c r="E47" s="2" t="s">
        <v>220</v>
      </c>
      <c r="F47" s="2" t="str">
        <f>IFERROR(VLOOKUP(D47,[3]Bai1_VuotQua!$D$8:$I$143,6,FALSE),"NY")</f>
        <v>done</v>
      </c>
      <c r="G47" s="2" t="str">
        <f>IFERROR(VLOOKUP(D47,[3]Bai2_VuotQua!$D$8:$I$120,6,FALSE),"NY")</f>
        <v>done</v>
      </c>
      <c r="H47" s="2" t="str">
        <f>IFERROR(VLOOKUP(D47,[3]Bai3_VuotQua!$D$8:$I$122,6,FALSE),"NY")</f>
        <v>done</v>
      </c>
      <c r="I47" s="2" t="str">
        <f>IFERROR(VLOOKUP(D47,[3]Bai4_VuotQua!$D$8:$I$117,6,FALSE),"NY")</f>
        <v>done</v>
      </c>
      <c r="J47" s="2" t="str">
        <f t="shared" si="0"/>
        <v>done all</v>
      </c>
      <c r="K47" s="2" t="s">
        <v>27</v>
      </c>
      <c r="L47" s="2" t="s">
        <v>20</v>
      </c>
      <c r="M47" s="2">
        <f>IFERROR(VLOOKUP(D47,[2]Hồng!$D$1:$M$21,10,FALSE),0)</f>
        <v>0</v>
      </c>
      <c r="N47"/>
      <c r="O47"/>
      <c r="P47"/>
      <c r="Q47"/>
      <c r="U47" s="4" t="s">
        <v>221</v>
      </c>
      <c r="V47" s="4"/>
      <c r="W47" s="4"/>
      <c r="X47" s="5">
        <v>108</v>
      </c>
    </row>
    <row r="48" spans="1:24" x14ac:dyDescent="0.25">
      <c r="A48" s="2">
        <v>46</v>
      </c>
      <c r="B48" s="2" t="s">
        <v>222</v>
      </c>
      <c r="C48" s="2" t="s">
        <v>223</v>
      </c>
      <c r="D48" s="2" t="s">
        <v>224</v>
      </c>
      <c r="E48" s="2" t="s">
        <v>225</v>
      </c>
      <c r="F48" s="2" t="str">
        <f>IFERROR(VLOOKUP(D48,[3]Bai1_VuotQua!$D$8:$I$143,6,FALSE),"NY")</f>
        <v>done</v>
      </c>
      <c r="G48" s="2" t="str">
        <f>IFERROR(VLOOKUP(D48,[3]Bai2_VuotQua!$D$8:$I$120,6,FALSE),"NY")</f>
        <v>done</v>
      </c>
      <c r="H48" s="2" t="str">
        <f>IFERROR(VLOOKUP(D48,[3]Bai3_VuotQua!$D$8:$I$122,6,FALSE),"NY")</f>
        <v>done</v>
      </c>
      <c r="I48" s="2" t="str">
        <f>IFERROR(VLOOKUP(D48,[3]Bai4_VuotQua!$D$8:$I$117,6,FALSE),"NY")</f>
        <v>done</v>
      </c>
      <c r="J48" s="2" t="str">
        <f t="shared" si="0"/>
        <v>done all</v>
      </c>
      <c r="K48" s="2" t="str">
        <f>VLOOKUP($D48,[1]Bai1_View!$E$2:$J$177,5,FALSE)</f>
        <v>Đăk Lăk</v>
      </c>
      <c r="L48" s="2" t="str">
        <f>VLOOKUP($D48,[1]Bai1_View!$E$2:$J$177,6,FALSE)</f>
        <v>A. Tho</v>
      </c>
      <c r="M48" s="2">
        <f>IFERROR(VLOOKUP(D48,[2]Hồng!$D$1:$M$21,10,FALSE),0)</f>
        <v>0</v>
      </c>
      <c r="N48"/>
      <c r="O48"/>
      <c r="P48"/>
      <c r="Q48"/>
      <c r="U48" t="s">
        <v>21</v>
      </c>
      <c r="V48"/>
      <c r="W48"/>
      <c r="X48" s="3">
        <v>282</v>
      </c>
    </row>
    <row r="49" spans="1:24" x14ac:dyDescent="0.25">
      <c r="A49" s="2">
        <v>47</v>
      </c>
      <c r="B49" s="2" t="s">
        <v>226</v>
      </c>
      <c r="C49" s="2" t="s">
        <v>227</v>
      </c>
      <c r="D49" s="2" t="s">
        <v>228</v>
      </c>
      <c r="E49" s="2" t="s">
        <v>229</v>
      </c>
      <c r="F49" s="2" t="str">
        <f>IFERROR(VLOOKUP(D49,[3]Bai1_VuotQua!$D$8:$I$143,6,FALSE),"NY")</f>
        <v>done</v>
      </c>
      <c r="G49" s="2" t="str">
        <f>IFERROR(VLOOKUP(D49,[3]Bai2_VuotQua!$D$8:$I$120,6,FALSE),"NY")</f>
        <v>done</v>
      </c>
      <c r="H49" s="2" t="str">
        <f>IFERROR(VLOOKUP(D49,[3]Bai3_VuotQua!$D$8:$I$122,6,FALSE),"NY")</f>
        <v>done</v>
      </c>
      <c r="I49" s="2" t="str">
        <f>IFERROR(VLOOKUP(D49,[3]Bai4_VuotQua!$D$8:$I$117,6,FALSE),"NY")</f>
        <v>done</v>
      </c>
      <c r="J49" s="2" t="str">
        <f t="shared" si="0"/>
        <v>done all</v>
      </c>
      <c r="K49" s="2" t="s">
        <v>27</v>
      </c>
      <c r="L49" s="2" t="s">
        <v>20</v>
      </c>
      <c r="M49" s="2" t="str">
        <f>IFERROR(VLOOKUP(D49,[2]Hồng!$D$1:$M$21,10,FALSE),0)</f>
        <v>ok</v>
      </c>
      <c r="N49"/>
      <c r="O49"/>
      <c r="P49"/>
      <c r="Q49"/>
      <c r="U49"/>
      <c r="V49"/>
      <c r="W49"/>
      <c r="X49"/>
    </row>
    <row r="50" spans="1:24" x14ac:dyDescent="0.25">
      <c r="A50" s="2">
        <v>48</v>
      </c>
      <c r="B50" s="2" t="s">
        <v>230</v>
      </c>
      <c r="C50" s="2" t="s">
        <v>231</v>
      </c>
      <c r="D50" s="2" t="s">
        <v>232</v>
      </c>
      <c r="E50" s="2" t="s">
        <v>233</v>
      </c>
      <c r="F50" s="2" t="str">
        <f>IFERROR(VLOOKUP(D50,[3]Bai1_VuotQua!$D$8:$I$143,6,FALSE),"NY")</f>
        <v>done</v>
      </c>
      <c r="G50" s="2" t="str">
        <f>IFERROR(VLOOKUP(D50,[3]Bai2_VuotQua!$D$8:$I$120,6,FALSE),"NY")</f>
        <v>done</v>
      </c>
      <c r="H50" s="2" t="str">
        <f>IFERROR(VLOOKUP(D50,[3]Bai3_VuotQua!$D$8:$I$122,6,FALSE),"NY")</f>
        <v>done</v>
      </c>
      <c r="I50" s="2" t="str">
        <f>IFERROR(VLOOKUP(D50,[3]Bai4_VuotQua!$D$8:$I$117,6,FALSE),"NY")</f>
        <v>done</v>
      </c>
      <c r="J50" s="2" t="str">
        <f t="shared" si="0"/>
        <v>done all</v>
      </c>
      <c r="K50" s="2" t="str">
        <f>VLOOKUP($D50,[1]Bai1_View!$E$2:$J$177,5,FALSE)</f>
        <v>HCM</v>
      </c>
      <c r="L50" s="2" t="str">
        <f>VLOOKUP($D50,[1]Bai1_View!$E$2:$J$177,6,FALSE)</f>
        <v>A. Tri</v>
      </c>
      <c r="M50" s="2">
        <f>IFERROR(VLOOKUP(D50,[2]Hồng!$D$1:$M$21,10,FALSE),0)</f>
        <v>0</v>
      </c>
      <c r="N50"/>
      <c r="O50"/>
      <c r="P50"/>
      <c r="Q50"/>
    </row>
    <row r="51" spans="1:24" x14ac:dyDescent="0.25">
      <c r="A51" s="2">
        <v>49</v>
      </c>
      <c r="B51" s="2" t="s">
        <v>234</v>
      </c>
      <c r="C51" s="2" t="s">
        <v>235</v>
      </c>
      <c r="D51" s="2" t="s">
        <v>236</v>
      </c>
      <c r="E51" s="2" t="s">
        <v>237</v>
      </c>
      <c r="F51" s="2" t="str">
        <f>IFERROR(VLOOKUP(D51,[3]Bai1_VuotQua!$D$8:$I$143,6,FALSE),"NY")</f>
        <v>NY</v>
      </c>
      <c r="G51" s="2" t="str">
        <f>IFERROR(VLOOKUP(D51,[3]Bai2_VuotQua!$D$8:$I$120,6,FALSE),"NY")</f>
        <v>NY</v>
      </c>
      <c r="H51" s="2" t="str">
        <f>IFERROR(VLOOKUP(D51,[3]Bai3_VuotQua!$D$8:$I$122,6,FALSE),"NY")</f>
        <v>NY</v>
      </c>
      <c r="I51" s="2" t="str">
        <f>IFERROR(VLOOKUP(D51,[3]Bai4_VuotQua!$D$8:$I$117,6,FALSE),"NY")</f>
        <v>NY</v>
      </c>
      <c r="J51" s="2" t="str">
        <f t="shared" si="0"/>
        <v>NY</v>
      </c>
      <c r="K51" s="2" t="s">
        <v>27</v>
      </c>
      <c r="L51" s="2" t="s">
        <v>20</v>
      </c>
      <c r="M51" s="2">
        <f>IFERROR(VLOOKUP(D51,[2]Hồng!$D$1:$M$21,10,FALSE),0)</f>
        <v>0</v>
      </c>
      <c r="N51"/>
      <c r="O51"/>
      <c r="P51"/>
      <c r="Q51"/>
    </row>
    <row r="52" spans="1:24" x14ac:dyDescent="0.25">
      <c r="A52" s="2">
        <v>50</v>
      </c>
      <c r="B52" s="2" t="s">
        <v>238</v>
      </c>
      <c r="C52" s="2" t="s">
        <v>239</v>
      </c>
      <c r="D52" s="2" t="s">
        <v>240</v>
      </c>
      <c r="E52" s="2" t="s">
        <v>241</v>
      </c>
      <c r="F52" s="2" t="str">
        <f>IFERROR(VLOOKUP(D52,[3]Bai1_VuotQua!$D$8:$I$143,6,FALSE),"NY")</f>
        <v>done</v>
      </c>
      <c r="G52" s="2" t="str">
        <f>IFERROR(VLOOKUP(D52,[3]Bai2_VuotQua!$D$8:$I$120,6,FALSE),"NY")</f>
        <v>done</v>
      </c>
      <c r="H52" s="2" t="str">
        <f>IFERROR(VLOOKUP(D52,[3]Bai3_VuotQua!$D$8:$I$122,6,FALSE),"NY")</f>
        <v>done</v>
      </c>
      <c r="I52" s="2" t="str">
        <f>IFERROR(VLOOKUP(D52,[3]Bai4_VuotQua!$D$8:$I$117,6,FALSE),"NY")</f>
        <v>done</v>
      </c>
      <c r="J52" s="2" t="str">
        <f t="shared" si="0"/>
        <v>done all</v>
      </c>
      <c r="K52" s="2" t="str">
        <f>VLOOKUP($D52,[1]Bai1_View!$E$2:$J$177,5,FALSE)</f>
        <v>HCM</v>
      </c>
      <c r="L52" s="2" t="str">
        <f>VLOOKUP($D52,[1]Bai1_View!$E$2:$J$177,6,FALSE)</f>
        <v>A. Tri</v>
      </c>
      <c r="M52" s="2">
        <f>IFERROR(VLOOKUP(D52,[2]Hồng!$D$1:$M$21,10,FALSE),0)</f>
        <v>0</v>
      </c>
      <c r="N52"/>
      <c r="O52"/>
      <c r="P52"/>
      <c r="Q52"/>
    </row>
    <row r="53" spans="1:24" x14ac:dyDescent="0.25">
      <c r="A53" s="2">
        <v>51</v>
      </c>
      <c r="B53" s="2" t="s">
        <v>242</v>
      </c>
      <c r="C53" s="2" t="s">
        <v>243</v>
      </c>
      <c r="D53" s="2" t="s">
        <v>244</v>
      </c>
      <c r="E53" s="2" t="s">
        <v>245</v>
      </c>
      <c r="F53" s="2" t="str">
        <f>IFERROR(VLOOKUP(D53,[3]Bai1_VuotQua!$D$8:$I$143,6,FALSE),"NY")</f>
        <v>NY</v>
      </c>
      <c r="G53" s="2" t="str">
        <f>IFERROR(VLOOKUP(D53,[3]Bai2_VuotQua!$D$8:$I$120,6,FALSE),"NY")</f>
        <v>NY</v>
      </c>
      <c r="H53" s="2" t="str">
        <f>IFERROR(VLOOKUP(D53,[3]Bai3_VuotQua!$D$8:$I$122,6,FALSE),"NY")</f>
        <v>NY</v>
      </c>
      <c r="I53" s="2" t="str">
        <f>IFERROR(VLOOKUP(D53,[3]Bai4_VuotQua!$D$8:$I$117,6,FALSE),"NY")</f>
        <v>NY</v>
      </c>
      <c r="J53" s="2" t="str">
        <f t="shared" si="0"/>
        <v>NY</v>
      </c>
      <c r="K53" s="2" t="str">
        <f>VLOOKUP($D53,[1]Bai1_View!$E$2:$J$177,5,FALSE)</f>
        <v>HN</v>
      </c>
      <c r="L53" s="2" t="str">
        <f>VLOOKUP($D53,[1]Bai1_View!$E$2:$J$177,6,FALSE)</f>
        <v>C. Quy</v>
      </c>
      <c r="M53" s="2">
        <f>IFERROR(VLOOKUP(D53,[2]Hồng!$D$1:$M$21,10,FALSE),0)</f>
        <v>0</v>
      </c>
      <c r="N53"/>
      <c r="O53"/>
      <c r="P53"/>
      <c r="Q53"/>
    </row>
    <row r="54" spans="1:24" x14ac:dyDescent="0.25">
      <c r="A54" s="2">
        <v>52</v>
      </c>
      <c r="B54" s="2" t="s">
        <v>246</v>
      </c>
      <c r="C54" s="2" t="s">
        <v>247</v>
      </c>
      <c r="D54" s="2" t="s">
        <v>248</v>
      </c>
      <c r="E54" s="2" t="s">
        <v>249</v>
      </c>
      <c r="F54" s="2" t="str">
        <f>IFERROR(VLOOKUP(D54,[3]Bai1_VuotQua!$D$8:$I$143,6,FALSE),"NY")</f>
        <v>NY</v>
      </c>
      <c r="G54" s="2" t="str">
        <f>IFERROR(VLOOKUP(D54,[3]Bai2_VuotQua!$D$8:$I$120,6,FALSE),"NY")</f>
        <v>NY</v>
      </c>
      <c r="H54" s="2" t="str">
        <f>IFERROR(VLOOKUP(D54,[3]Bai3_VuotQua!$D$8:$I$122,6,FALSE),"NY")</f>
        <v>NY</v>
      </c>
      <c r="I54" s="2" t="str">
        <f>IFERROR(VLOOKUP(D54,[3]Bai4_VuotQua!$D$8:$I$117,6,FALSE),"NY")</f>
        <v>NY</v>
      </c>
      <c r="J54" s="2" t="str">
        <f t="shared" si="0"/>
        <v>NY</v>
      </c>
      <c r="K54" s="2" t="str">
        <f>VLOOKUP($D54,[1]Bai1_View!$E$2:$J$177,5,FALSE)</f>
        <v>HCM</v>
      </c>
      <c r="L54" s="2" t="str">
        <f>VLOOKUP($D54,[1]Bai1_View!$E$2:$J$177,6,FALSE)</f>
        <v>A. Tri</v>
      </c>
      <c r="M54" s="2">
        <f>IFERROR(VLOOKUP(D54,[2]Hồng!$D$1:$M$21,10,FALSE),0)</f>
        <v>0</v>
      </c>
      <c r="N54"/>
      <c r="O54"/>
      <c r="P54"/>
      <c r="Q54"/>
    </row>
    <row r="55" spans="1:24" x14ac:dyDescent="0.25">
      <c r="A55" s="2">
        <v>53</v>
      </c>
      <c r="B55" s="2" t="s">
        <v>250</v>
      </c>
      <c r="C55" s="2" t="s">
        <v>251</v>
      </c>
      <c r="D55" s="2" t="s">
        <v>252</v>
      </c>
      <c r="E55" s="2" t="s">
        <v>253</v>
      </c>
      <c r="F55" s="2" t="str">
        <f>IFERROR(VLOOKUP(D55,[3]Bai1_VuotQua!$D$8:$I$143,6,FALSE),"NY")</f>
        <v>NY</v>
      </c>
      <c r="G55" s="2" t="str">
        <f>IFERROR(VLOOKUP(D55,[3]Bai2_VuotQua!$D$8:$I$120,6,FALSE),"NY")</f>
        <v>NY</v>
      </c>
      <c r="H55" s="2" t="str">
        <f>IFERROR(VLOOKUP(D55,[3]Bai3_VuotQua!$D$8:$I$122,6,FALSE),"NY")</f>
        <v>NY</v>
      </c>
      <c r="I55" s="2" t="str">
        <f>IFERROR(VLOOKUP(D55,[3]Bai4_VuotQua!$D$8:$I$117,6,FALSE),"NY")</f>
        <v>NY</v>
      </c>
      <c r="J55" s="2" t="str">
        <f t="shared" si="0"/>
        <v>NY</v>
      </c>
      <c r="K55" s="2" t="str">
        <f>VLOOKUP($D55,[1]Bai1_View!$E$2:$J$177,5,FALSE)</f>
        <v>HCM</v>
      </c>
      <c r="L55" s="2" t="str">
        <f>VLOOKUP($D55,[1]Bai1_View!$E$2:$J$177,6,FALSE)</f>
        <v>A. Tri</v>
      </c>
      <c r="M55" s="2">
        <f>IFERROR(VLOOKUP(D55,[2]Hồng!$D$1:$M$21,10,FALSE),0)</f>
        <v>0</v>
      </c>
      <c r="N55"/>
      <c r="O55"/>
      <c r="P55"/>
      <c r="Q55"/>
    </row>
    <row r="56" spans="1:24" x14ac:dyDescent="0.25">
      <c r="A56" s="2">
        <v>54</v>
      </c>
      <c r="B56" s="2" t="s">
        <v>254</v>
      </c>
      <c r="C56" s="2" t="s">
        <v>255</v>
      </c>
      <c r="D56" s="2" t="s">
        <v>256</v>
      </c>
      <c r="E56" s="2" t="s">
        <v>257</v>
      </c>
      <c r="F56" s="2" t="str">
        <f>IFERROR(VLOOKUP(D56,[3]Bai1_VuotQua!$D$8:$I$143,6,FALSE),"NY")</f>
        <v>done</v>
      </c>
      <c r="G56" s="2" t="str">
        <f>IFERROR(VLOOKUP(D56,[3]Bai2_VuotQua!$D$8:$I$120,6,FALSE),"NY")</f>
        <v>done</v>
      </c>
      <c r="H56" s="2" t="str">
        <f>IFERROR(VLOOKUP(D56,[3]Bai3_VuotQua!$D$8:$I$122,6,FALSE),"NY")</f>
        <v>done</v>
      </c>
      <c r="I56" s="2" t="str">
        <f>IFERROR(VLOOKUP(D56,[3]Bai4_VuotQua!$D$8:$I$117,6,FALSE),"NY")</f>
        <v>done</v>
      </c>
      <c r="J56" s="2" t="str">
        <f t="shared" si="0"/>
        <v>done all</v>
      </c>
      <c r="K56" s="2" t="str">
        <f>VLOOKUP($D56,[1]Bai1_View!$E$2:$J$177,5,FALSE)</f>
        <v>Khánh Hòa</v>
      </c>
      <c r="L56" s="2" t="str">
        <f>VLOOKUP($D56,[1]Bai1_View!$E$2:$J$177,6,FALSE)</f>
        <v>A. Tho</v>
      </c>
      <c r="M56" s="2">
        <f>IFERROR(VLOOKUP(D56,[2]Hồng!$D$1:$M$21,10,FALSE),0)</f>
        <v>0</v>
      </c>
      <c r="N56"/>
      <c r="O56"/>
      <c r="P56"/>
      <c r="Q56"/>
    </row>
    <row r="57" spans="1:24" x14ac:dyDescent="0.25">
      <c r="A57" s="2">
        <v>55</v>
      </c>
      <c r="B57" s="2" t="s">
        <v>258</v>
      </c>
      <c r="C57" s="2" t="s">
        <v>259</v>
      </c>
      <c r="D57" s="2" t="s">
        <v>260</v>
      </c>
      <c r="E57" s="2" t="s">
        <v>261</v>
      </c>
      <c r="F57" s="2" t="str">
        <f>IFERROR(VLOOKUP(D57,[3]Bai1_VuotQua!$D$8:$I$143,6,FALSE),"NY")</f>
        <v>NY</v>
      </c>
      <c r="G57" s="2" t="str">
        <f>IFERROR(VLOOKUP(D57,[3]Bai2_VuotQua!$D$8:$I$120,6,FALSE),"NY")</f>
        <v>NY</v>
      </c>
      <c r="H57" s="2" t="str">
        <f>IFERROR(VLOOKUP(D57,[3]Bai3_VuotQua!$D$8:$I$122,6,FALSE),"NY")</f>
        <v>NY</v>
      </c>
      <c r="I57" s="2" t="str">
        <f>IFERROR(VLOOKUP(D57,[3]Bai4_VuotQua!$D$8:$I$117,6,FALSE),"NY")</f>
        <v>NY</v>
      </c>
      <c r="J57" s="2" t="str">
        <f t="shared" si="0"/>
        <v>NY</v>
      </c>
      <c r="K57" s="2" t="str">
        <f>VLOOKUP($D57,[1]Bai1_View!$E$2:$J$177,5,FALSE)</f>
        <v>Phú Thọ</v>
      </c>
      <c r="L57" s="2" t="str">
        <f>VLOOKUP($D57,[1]Bai1_View!$E$2:$J$177,6,FALSE)</f>
        <v>A. Tuan</v>
      </c>
      <c r="M57" s="2">
        <f>IFERROR(VLOOKUP(D57,[2]Hồng!$D$1:$M$21,10,FALSE),0)</f>
        <v>0</v>
      </c>
      <c r="N57"/>
      <c r="O57"/>
      <c r="P57"/>
      <c r="Q57"/>
    </row>
    <row r="58" spans="1:24" x14ac:dyDescent="0.25">
      <c r="A58" s="2">
        <v>56</v>
      </c>
      <c r="B58" s="2" t="s">
        <v>262</v>
      </c>
      <c r="C58" s="2" t="s">
        <v>263</v>
      </c>
      <c r="D58" s="2" t="s">
        <v>264</v>
      </c>
      <c r="E58" s="2" t="s">
        <v>265</v>
      </c>
      <c r="F58" s="2" t="str">
        <f>IFERROR(VLOOKUP(D58,[3]Bai1_VuotQua!$D$8:$I$143,6,FALSE),"NY")</f>
        <v>NY</v>
      </c>
      <c r="G58" s="2" t="str">
        <f>IFERROR(VLOOKUP(D58,[3]Bai2_VuotQua!$D$8:$I$120,6,FALSE),"NY")</f>
        <v>NY</v>
      </c>
      <c r="H58" s="2" t="str">
        <f>IFERROR(VLOOKUP(D58,[3]Bai3_VuotQua!$D$8:$I$122,6,FALSE),"NY")</f>
        <v>NY</v>
      </c>
      <c r="I58" s="2" t="str">
        <f>IFERROR(VLOOKUP(D58,[3]Bai4_VuotQua!$D$8:$I$117,6,FALSE),"NY")</f>
        <v>NY</v>
      </c>
      <c r="J58" s="2" t="str">
        <f t="shared" si="0"/>
        <v>NY</v>
      </c>
      <c r="K58" s="2" t="str">
        <f>VLOOKUP($D58,[1]Bai1_View!$E$2:$J$177,5,FALSE)</f>
        <v>Khánh Hòa</v>
      </c>
      <c r="L58" s="2" t="str">
        <f>VLOOKUP($D58,[1]Bai1_View!$E$2:$J$177,6,FALSE)</f>
        <v>A. Tho</v>
      </c>
      <c r="M58" s="2">
        <f>IFERROR(VLOOKUP(D58,[2]Hồng!$D$1:$M$21,10,FALSE),0)</f>
        <v>0</v>
      </c>
      <c r="N58"/>
      <c r="O58"/>
      <c r="P58"/>
      <c r="Q58"/>
    </row>
    <row r="59" spans="1:24" x14ac:dyDescent="0.25">
      <c r="A59" s="2">
        <v>57</v>
      </c>
      <c r="B59" s="2" t="s">
        <v>266</v>
      </c>
      <c r="C59" s="2" t="s">
        <v>267</v>
      </c>
      <c r="D59" s="2" t="s">
        <v>268</v>
      </c>
      <c r="E59" s="2" t="s">
        <v>269</v>
      </c>
      <c r="F59" s="2" t="str">
        <f>IFERROR(VLOOKUP(D59,[3]Bai1_VuotQua!$D$8:$I$143,6,FALSE),"NY")</f>
        <v>NY</v>
      </c>
      <c r="G59" s="2" t="str">
        <f>IFERROR(VLOOKUP(D59,[3]Bai2_VuotQua!$D$8:$I$120,6,FALSE),"NY")</f>
        <v>done</v>
      </c>
      <c r="H59" s="2" t="str">
        <f>IFERROR(VLOOKUP(D59,[3]Bai3_VuotQua!$D$8:$I$122,6,FALSE),"NY")</f>
        <v>done</v>
      </c>
      <c r="I59" s="2" t="str">
        <f>IFERROR(VLOOKUP(D59,[3]Bai4_VuotQua!$D$8:$I$117,6,FALSE),"NY")</f>
        <v>done</v>
      </c>
      <c r="J59" s="2" t="str">
        <f t="shared" si="0"/>
        <v>done 3 lession</v>
      </c>
      <c r="K59" s="2" t="str">
        <f>VLOOKUP($D59,[1]Bai1_View!$E$2:$J$177,5,FALSE)</f>
        <v>HCM</v>
      </c>
      <c r="L59" s="2" t="str">
        <f>VLOOKUP($D59,[1]Bai1_View!$E$2:$J$177,6,FALSE)</f>
        <v>A. Tri</v>
      </c>
      <c r="M59" s="2">
        <f>IFERROR(VLOOKUP(D59,[2]Hồng!$D$1:$M$21,10,FALSE),0)</f>
        <v>0</v>
      </c>
      <c r="N59"/>
      <c r="O59"/>
      <c r="P59"/>
      <c r="Q59"/>
    </row>
    <row r="60" spans="1:24" x14ac:dyDescent="0.25">
      <c r="A60" s="2">
        <v>58</v>
      </c>
      <c r="B60" s="2" t="s">
        <v>270</v>
      </c>
      <c r="C60" s="2" t="s">
        <v>271</v>
      </c>
      <c r="D60" s="2" t="s">
        <v>272</v>
      </c>
      <c r="E60" s="2" t="s">
        <v>273</v>
      </c>
      <c r="F60" s="2" t="str">
        <f>IFERROR(VLOOKUP(D60,[3]Bai1_VuotQua!$D$8:$I$143,6,FALSE),"NY")</f>
        <v>NY</v>
      </c>
      <c r="G60" s="2" t="str">
        <f>IFERROR(VLOOKUP(D60,[3]Bai2_VuotQua!$D$8:$I$120,6,FALSE),"NY")</f>
        <v>NY</v>
      </c>
      <c r="H60" s="2" t="str">
        <f>IFERROR(VLOOKUP(D60,[3]Bai3_VuotQua!$D$8:$I$122,6,FALSE),"NY")</f>
        <v>NY</v>
      </c>
      <c r="I60" s="2" t="str">
        <f>IFERROR(VLOOKUP(D60,[3]Bai4_VuotQua!$D$8:$I$117,6,FALSE),"NY")</f>
        <v>NY</v>
      </c>
      <c r="J60" s="2" t="str">
        <f t="shared" si="0"/>
        <v>NY</v>
      </c>
      <c r="K60" s="2" t="str">
        <f>VLOOKUP($D60,[1]Bai1_View!$E$2:$J$177,5,FALSE)</f>
        <v>Nghệ An</v>
      </c>
      <c r="L60" s="2" t="str">
        <f>VLOOKUP($D60,[1]Bai1_View!$E$2:$J$177,6,FALSE)</f>
        <v>A. Tuan</v>
      </c>
      <c r="M60" s="2">
        <f>IFERROR(VLOOKUP(D60,[2]Hồng!$D$1:$M$21,10,FALSE),0)</f>
        <v>0</v>
      </c>
      <c r="N60"/>
      <c r="O60"/>
      <c r="P60"/>
      <c r="Q60"/>
    </row>
    <row r="61" spans="1:24" x14ac:dyDescent="0.25">
      <c r="A61" s="2">
        <v>59</v>
      </c>
      <c r="B61" s="2" t="s">
        <v>274</v>
      </c>
      <c r="C61" s="2" t="s">
        <v>275</v>
      </c>
      <c r="D61" s="2" t="s">
        <v>276</v>
      </c>
      <c r="E61" s="2" t="s">
        <v>277</v>
      </c>
      <c r="F61" s="2" t="str">
        <f>IFERROR(VLOOKUP(D61,[3]Bai1_VuotQua!$D$8:$I$143,6,FALSE),"NY")</f>
        <v>done</v>
      </c>
      <c r="G61" s="2" t="str">
        <f>IFERROR(VLOOKUP(D61,[3]Bai2_VuotQua!$D$8:$I$120,6,FALSE),"NY")</f>
        <v>done</v>
      </c>
      <c r="H61" s="2" t="str">
        <f>IFERROR(VLOOKUP(D61,[3]Bai3_VuotQua!$D$8:$I$122,6,FALSE),"NY")</f>
        <v>done</v>
      </c>
      <c r="I61" s="2" t="str">
        <f>IFERROR(VLOOKUP(D61,[3]Bai4_VuotQua!$D$8:$I$117,6,FALSE),"NY")</f>
        <v>done</v>
      </c>
      <c r="J61" s="2" t="s">
        <v>45</v>
      </c>
      <c r="K61" s="2" t="s">
        <v>27</v>
      </c>
      <c r="L61" s="2" t="s">
        <v>20</v>
      </c>
      <c r="M61" s="2" t="str">
        <f>IFERROR(VLOOKUP(D61,[2]Hồng!$D$1:$M$21,10,FALSE),0)</f>
        <v>Đã học xong hôm nay 8/1/2020</v>
      </c>
      <c r="N61"/>
      <c r="O61"/>
      <c r="P61"/>
      <c r="Q61"/>
    </row>
    <row r="62" spans="1:24" x14ac:dyDescent="0.25">
      <c r="A62" s="2">
        <v>60</v>
      </c>
      <c r="B62" s="2" t="s">
        <v>278</v>
      </c>
      <c r="C62" s="2" t="s">
        <v>279</v>
      </c>
      <c r="D62" s="2" t="s">
        <v>280</v>
      </c>
      <c r="E62" s="2" t="s">
        <v>281</v>
      </c>
      <c r="F62" s="2" t="str">
        <f>IFERROR(VLOOKUP(D62,[3]Bai1_VuotQua!$D$8:$I$143,6,FALSE),"NY")</f>
        <v>NY</v>
      </c>
      <c r="G62" s="2" t="str">
        <f>IFERROR(VLOOKUP(D62,[3]Bai2_VuotQua!$D$8:$I$120,6,FALSE),"NY")</f>
        <v>NY</v>
      </c>
      <c r="H62" s="2" t="str">
        <f>IFERROR(VLOOKUP(D62,[3]Bai3_VuotQua!$D$8:$I$122,6,FALSE),"NY")</f>
        <v>NY</v>
      </c>
      <c r="I62" s="2" t="str">
        <f>IFERROR(VLOOKUP(D62,[3]Bai4_VuotQua!$D$8:$I$117,6,FALSE),"NY")</f>
        <v>NY</v>
      </c>
      <c r="J62" s="2" t="str">
        <f t="shared" si="0"/>
        <v>NY</v>
      </c>
      <c r="K62" s="2" t="s">
        <v>125</v>
      </c>
      <c r="L62" s="2" t="s">
        <v>19</v>
      </c>
      <c r="M62" s="2">
        <f>IFERROR(VLOOKUP(D62,[2]Hồng!$D$1:$M$21,10,FALSE),0)</f>
        <v>0</v>
      </c>
      <c r="N62"/>
      <c r="O62"/>
      <c r="P62"/>
      <c r="Q62"/>
    </row>
    <row r="63" spans="1:24" x14ac:dyDescent="0.25">
      <c r="A63" s="2">
        <v>61</v>
      </c>
      <c r="B63" s="2" t="s">
        <v>282</v>
      </c>
      <c r="C63" s="2" t="s">
        <v>283</v>
      </c>
      <c r="D63" s="2" t="s">
        <v>284</v>
      </c>
      <c r="E63" s="2" t="s">
        <v>285</v>
      </c>
      <c r="F63" s="2" t="str">
        <f>IFERROR(VLOOKUP(D63,[3]Bai1_VuotQua!$D$8:$I$143,6,FALSE),"NY")</f>
        <v>NY</v>
      </c>
      <c r="G63" s="2" t="str">
        <f>IFERROR(VLOOKUP(D63,[3]Bai2_VuotQua!$D$8:$I$120,6,FALSE),"NY")</f>
        <v>NY</v>
      </c>
      <c r="H63" s="2" t="str">
        <f>IFERROR(VLOOKUP(D63,[3]Bai3_VuotQua!$D$8:$I$122,6,FALSE),"NY")</f>
        <v>NY</v>
      </c>
      <c r="I63" s="2" t="str">
        <f>IFERROR(VLOOKUP(D63,[3]Bai4_VuotQua!$D$8:$I$117,6,FALSE),"NY")</f>
        <v>NY</v>
      </c>
      <c r="J63" s="2" t="str">
        <f t="shared" si="0"/>
        <v>NY</v>
      </c>
      <c r="K63" s="2" t="str">
        <f>VLOOKUP($D63,[1]Bai1_View!$E$2:$J$177,5,FALSE)</f>
        <v>HN</v>
      </c>
      <c r="L63" s="2" t="str">
        <f>VLOOKUP($D63,[1]Bai1_View!$E$2:$J$177,6,FALSE)</f>
        <v>C. Quy</v>
      </c>
      <c r="M63" s="2">
        <f>IFERROR(VLOOKUP(D63,[2]Hồng!$D$1:$M$21,10,FALSE),0)</f>
        <v>0</v>
      </c>
      <c r="N63"/>
      <c r="O63"/>
      <c r="P63"/>
      <c r="Q63"/>
    </row>
    <row r="64" spans="1:24" x14ac:dyDescent="0.25">
      <c r="A64" s="2">
        <v>62</v>
      </c>
      <c r="B64" s="2" t="s">
        <v>286</v>
      </c>
      <c r="C64" s="2" t="s">
        <v>287</v>
      </c>
      <c r="D64" s="2" t="s">
        <v>288</v>
      </c>
      <c r="E64" s="2" t="s">
        <v>289</v>
      </c>
      <c r="F64" s="2" t="str">
        <f>IFERROR(VLOOKUP(D64,[3]Bai1_VuotQua!$D$8:$I$143,6,FALSE),"NY")</f>
        <v>done</v>
      </c>
      <c r="G64" s="2" t="str">
        <f>IFERROR(VLOOKUP(D64,[3]Bai2_VuotQua!$D$8:$I$120,6,FALSE),"NY")</f>
        <v>done</v>
      </c>
      <c r="H64" s="2" t="str">
        <f>IFERROR(VLOOKUP(D64,[3]Bai3_VuotQua!$D$8:$I$122,6,FALSE),"NY")</f>
        <v>done</v>
      </c>
      <c r="I64" s="2" t="str">
        <f>IFERROR(VLOOKUP(D64,[3]Bai4_VuotQua!$D$8:$I$117,6,FALSE),"NY")</f>
        <v>done</v>
      </c>
      <c r="J64" s="2" t="str">
        <f t="shared" si="0"/>
        <v>done all</v>
      </c>
      <c r="K64" s="2" t="str">
        <f>VLOOKUP($D64,[1]Bai1_View!$E$2:$J$177,5,FALSE)</f>
        <v>HN</v>
      </c>
      <c r="L64" s="2" t="str">
        <f>VLOOKUP($D64,[1]Bai1_View!$E$2:$J$177,6,FALSE)</f>
        <v>C. Quy</v>
      </c>
      <c r="M64" s="2" t="str">
        <f>IFERROR(VLOOKUP(D64,[2]Hồng!$D$1:$M$21,10,FALSE),0)</f>
        <v>ok</v>
      </c>
      <c r="N64"/>
      <c r="O64"/>
      <c r="P64"/>
      <c r="Q64"/>
    </row>
    <row r="65" spans="1:17" x14ac:dyDescent="0.25">
      <c r="A65" s="2">
        <v>63</v>
      </c>
      <c r="B65" s="2" t="s">
        <v>290</v>
      </c>
      <c r="C65" s="2" t="s">
        <v>291</v>
      </c>
      <c r="D65" s="2" t="s">
        <v>292</v>
      </c>
      <c r="E65" s="2" t="s">
        <v>293</v>
      </c>
      <c r="F65" s="2" t="str">
        <f>IFERROR(VLOOKUP(D65,[3]Bai1_VuotQua!$D$8:$I$143,6,FALSE),"NY")</f>
        <v>NY</v>
      </c>
      <c r="G65" s="2" t="str">
        <f>IFERROR(VLOOKUP(D65,[3]Bai2_VuotQua!$D$8:$I$120,6,FALSE),"NY")</f>
        <v>NY</v>
      </c>
      <c r="H65" s="2" t="str">
        <f>IFERROR(VLOOKUP(D65,[3]Bai3_VuotQua!$D$8:$I$122,6,FALSE),"NY")</f>
        <v>NY</v>
      </c>
      <c r="I65" s="2" t="str">
        <f>IFERROR(VLOOKUP(D65,[3]Bai4_VuotQua!$D$8:$I$117,6,FALSE),"NY")</f>
        <v>NY</v>
      </c>
      <c r="J65" s="2" t="str">
        <f t="shared" si="0"/>
        <v>NY</v>
      </c>
      <c r="K65" s="2" t="str">
        <f>VLOOKUP($D65,[1]Bai1_View!$E$2:$J$177,5,FALSE)</f>
        <v>HCM</v>
      </c>
      <c r="L65" s="2" t="str">
        <f>VLOOKUP($D65,[1]Bai1_View!$E$2:$J$177,6,FALSE)</f>
        <v>A. Tri</v>
      </c>
      <c r="M65" s="2">
        <f>IFERROR(VLOOKUP(D65,[2]Hồng!$D$1:$M$21,10,FALSE),0)</f>
        <v>0</v>
      </c>
      <c r="N65"/>
      <c r="O65"/>
      <c r="P65"/>
      <c r="Q65"/>
    </row>
    <row r="66" spans="1:17" x14ac:dyDescent="0.25">
      <c r="A66" s="2">
        <v>64</v>
      </c>
      <c r="B66" s="2" t="s">
        <v>294</v>
      </c>
      <c r="C66" s="2" t="s">
        <v>295</v>
      </c>
      <c r="D66" s="2" t="s">
        <v>296</v>
      </c>
      <c r="E66" s="2" t="s">
        <v>297</v>
      </c>
      <c r="F66" s="2" t="str">
        <f>IFERROR(VLOOKUP(D66,[3]Bai1_VuotQua!$D$8:$I$143,6,FALSE),"NY")</f>
        <v>done</v>
      </c>
      <c r="G66" s="2" t="str">
        <f>IFERROR(VLOOKUP(D66,[3]Bai2_VuotQua!$D$8:$I$120,6,FALSE),"NY")</f>
        <v>done</v>
      </c>
      <c r="H66" s="2" t="str">
        <f>IFERROR(VLOOKUP(D66,[3]Bai3_VuotQua!$D$8:$I$122,6,FALSE),"NY")</f>
        <v>done</v>
      </c>
      <c r="I66" s="2" t="str">
        <f>IFERROR(VLOOKUP(D66,[3]Bai4_VuotQua!$D$8:$I$117,6,FALSE),"NY")</f>
        <v>done</v>
      </c>
      <c r="J66" s="2" t="str">
        <f t="shared" si="0"/>
        <v>done all</v>
      </c>
      <c r="K66" s="2" t="str">
        <f>VLOOKUP($D66,[1]Bai1_View!$E$2:$J$177,5,FALSE)</f>
        <v>HCM</v>
      </c>
      <c r="L66" s="2" t="str">
        <f>VLOOKUP($D66,[1]Bai1_View!$E$2:$J$177,6,FALSE)</f>
        <v>A. Tri</v>
      </c>
      <c r="M66" s="2">
        <f>IFERROR(VLOOKUP(D66,[2]Hồng!$D$1:$M$21,10,FALSE),0)</f>
        <v>0</v>
      </c>
      <c r="N66"/>
      <c r="O66"/>
      <c r="P66"/>
      <c r="Q66"/>
    </row>
    <row r="67" spans="1:17" x14ac:dyDescent="0.25">
      <c r="A67" s="2">
        <v>65</v>
      </c>
      <c r="B67" s="2" t="s">
        <v>298</v>
      </c>
      <c r="C67" s="2" t="s">
        <v>299</v>
      </c>
      <c r="D67" s="2" t="s">
        <v>300</v>
      </c>
      <c r="E67" s="2" t="s">
        <v>301</v>
      </c>
      <c r="F67" s="2" t="str">
        <f>IFERROR(VLOOKUP(D67,[3]Bai1_VuotQua!$D$8:$I$143,6,FALSE),"NY")</f>
        <v>NY</v>
      </c>
      <c r="G67" s="2" t="str">
        <f>IFERROR(VLOOKUP(D67,[3]Bai2_VuotQua!$D$8:$I$120,6,FALSE),"NY")</f>
        <v>NY</v>
      </c>
      <c r="H67" s="2" t="str">
        <f>IFERROR(VLOOKUP(D67,[3]Bai3_VuotQua!$D$8:$I$122,6,FALSE),"NY")</f>
        <v>NY</v>
      </c>
      <c r="I67" s="2" t="str">
        <f>IFERROR(VLOOKUP(D67,[3]Bai4_VuotQua!$D$8:$I$117,6,FALSE),"NY")</f>
        <v>NY</v>
      </c>
      <c r="J67" s="2" t="str">
        <f t="shared" si="0"/>
        <v>NY</v>
      </c>
      <c r="K67" s="2" t="str">
        <f>VLOOKUP($D67,[1]Bai1_View!$E$2:$J$177,5,FALSE)</f>
        <v>Khánh Hòa</v>
      </c>
      <c r="L67" s="2" t="str">
        <f>VLOOKUP($D67,[1]Bai1_View!$E$2:$J$177,6,FALSE)</f>
        <v>A. Tho</v>
      </c>
      <c r="M67" s="2">
        <f>IFERROR(VLOOKUP(D67,[2]Hồng!$D$1:$M$21,10,FALSE),0)</f>
        <v>0</v>
      </c>
    </row>
    <row r="68" spans="1:17" x14ac:dyDescent="0.25">
      <c r="A68" s="2">
        <v>66</v>
      </c>
      <c r="B68" s="2" t="s">
        <v>302</v>
      </c>
      <c r="C68" s="2" t="s">
        <v>303</v>
      </c>
      <c r="D68" s="2" t="s">
        <v>304</v>
      </c>
      <c r="E68" s="2" t="s">
        <v>305</v>
      </c>
      <c r="F68" s="2" t="str">
        <f>IFERROR(VLOOKUP(D68,[3]Bai1_VuotQua!$D$8:$I$143,6,FALSE),"NY")</f>
        <v>done</v>
      </c>
      <c r="G68" s="2" t="str">
        <f>IFERROR(VLOOKUP(D68,[3]Bai2_VuotQua!$D$8:$I$120,6,FALSE),"NY")</f>
        <v>done</v>
      </c>
      <c r="H68" s="2" t="str">
        <f>IFERROR(VLOOKUP(D68,[3]Bai3_VuotQua!$D$8:$I$122,6,FALSE),"NY")</f>
        <v>done</v>
      </c>
      <c r="I68" s="2" t="str">
        <f>IFERROR(VLOOKUP(D68,[3]Bai4_VuotQua!$D$8:$I$117,6,FALSE),"NY")</f>
        <v>done</v>
      </c>
      <c r="J68" s="2" t="str">
        <f t="shared" ref="J68:J131" si="1">IF(AND(F68="done",G68="done",H68="done",I68="done"),"done all",IF(OR(AND(F68="done",G68="done",H68="done"),AND(F68="done",G68="done",I68="done"),AND(F68="done",H68="done",I68="done"),AND(G68="done",H68="done",I68="done")),"done 3 lession",IF(OR(AND(F68="done",G68="done"),AND(F68="done",H68="done"),AND(F68="done",I68="done"),AND(G68="done",H68="done"),AND(G68="done",I68="done"),AND(H68="done",I68="done")),"done 2 lession",IF(OR(F68="done",G68="done",H68="done",I68="done"),"done 1 lession","NY"))))</f>
        <v>done all</v>
      </c>
      <c r="K68" s="2" t="str">
        <f>VLOOKUP($D68,[1]Bai1_View!$E$2:$J$177,5,FALSE)</f>
        <v>HN</v>
      </c>
      <c r="L68" s="2" t="s">
        <v>20</v>
      </c>
      <c r="M68" s="2">
        <f>IFERROR(VLOOKUP(D68,[2]Hồng!$D$1:$M$21,10,FALSE),0)</f>
        <v>0</v>
      </c>
    </row>
    <row r="69" spans="1:17" x14ac:dyDescent="0.25">
      <c r="A69" s="2">
        <v>67</v>
      </c>
      <c r="B69" s="2" t="s">
        <v>306</v>
      </c>
      <c r="C69" s="2" t="s">
        <v>307</v>
      </c>
      <c r="D69" s="2" t="s">
        <v>308</v>
      </c>
      <c r="E69" s="2" t="s">
        <v>309</v>
      </c>
      <c r="F69" s="2" t="str">
        <f>IFERROR(VLOOKUP(D69,[3]Bai1_VuotQua!$D$8:$I$143,6,FALSE),"NY")</f>
        <v>done</v>
      </c>
      <c r="G69" s="2" t="str">
        <f>IFERROR(VLOOKUP(D69,[3]Bai2_VuotQua!$D$8:$I$120,6,FALSE),"NY")</f>
        <v>done</v>
      </c>
      <c r="H69" s="2" t="str">
        <f>IFERROR(VLOOKUP(D69,[3]Bai3_VuotQua!$D$8:$I$122,6,FALSE),"NY")</f>
        <v>done</v>
      </c>
      <c r="I69" s="2" t="str">
        <f>IFERROR(VLOOKUP(D69,[3]Bai4_VuotQua!$D$8:$I$117,6,FALSE),"NY")</f>
        <v>done</v>
      </c>
      <c r="J69" s="2" t="str">
        <f t="shared" si="1"/>
        <v>done all</v>
      </c>
      <c r="K69" s="2" t="str">
        <f>VLOOKUP($D69,[1]Bai1_View!$E$2:$J$177,5,FALSE)</f>
        <v>HCM</v>
      </c>
      <c r="L69" s="2" t="str">
        <f>VLOOKUP($D69,[1]Bai1_View!$E$2:$J$177,6,FALSE)</f>
        <v>A. Tri</v>
      </c>
      <c r="M69" s="2">
        <f>IFERROR(VLOOKUP(D69,[2]Hồng!$D$1:$M$21,10,FALSE),0)</f>
        <v>0</v>
      </c>
    </row>
    <row r="70" spans="1:17" x14ac:dyDescent="0.25">
      <c r="A70" s="2">
        <v>68</v>
      </c>
      <c r="B70" s="2" t="s">
        <v>310</v>
      </c>
      <c r="C70" s="2" t="s">
        <v>311</v>
      </c>
      <c r="D70" s="2" t="s">
        <v>312</v>
      </c>
      <c r="E70" s="2" t="s">
        <v>313</v>
      </c>
      <c r="F70" s="2" t="str">
        <f>IFERROR(VLOOKUP(D70,[3]Bai1_VuotQua!$D$8:$I$143,6,FALSE),"NY")</f>
        <v>done</v>
      </c>
      <c r="G70" s="2" t="str">
        <f>IFERROR(VLOOKUP(D70,[3]Bai2_VuotQua!$D$8:$I$120,6,FALSE),"NY")</f>
        <v>done</v>
      </c>
      <c r="H70" s="2" t="str">
        <f>IFERROR(VLOOKUP(D70,[3]Bai3_VuotQua!$D$8:$I$122,6,FALSE),"NY")</f>
        <v>done</v>
      </c>
      <c r="I70" s="2" t="str">
        <f>IFERROR(VLOOKUP(D70,[3]Bai4_VuotQua!$D$8:$I$117,6,FALSE),"NY")</f>
        <v>done</v>
      </c>
      <c r="J70" s="2" t="str">
        <f t="shared" si="1"/>
        <v>done all</v>
      </c>
      <c r="K70" s="2" t="str">
        <f>VLOOKUP($D70,[1]Bai1_View!$E$2:$J$177,5,FALSE)</f>
        <v>Cần Thơ</v>
      </c>
      <c r="L70" s="2" t="str">
        <f>VLOOKUP($D70,[1]Bai1_View!$E$2:$J$177,6,FALSE)</f>
        <v>A. Tho</v>
      </c>
      <c r="M70" s="2">
        <f>IFERROR(VLOOKUP(D70,[2]Hồng!$D$1:$M$21,10,FALSE),0)</f>
        <v>0</v>
      </c>
    </row>
    <row r="71" spans="1:17" x14ac:dyDescent="0.25">
      <c r="A71" s="2">
        <v>69</v>
      </c>
      <c r="B71" s="2" t="s">
        <v>314</v>
      </c>
      <c r="C71" s="2" t="s">
        <v>315</v>
      </c>
      <c r="D71" s="2" t="s">
        <v>316</v>
      </c>
      <c r="E71" s="2" t="s">
        <v>317</v>
      </c>
      <c r="F71" s="2" t="str">
        <f>IFERROR(VLOOKUP(D71,[3]Bai1_VuotQua!$D$8:$I$143,6,FALSE),"NY")</f>
        <v>done</v>
      </c>
      <c r="G71" s="2" t="str">
        <f>IFERROR(VLOOKUP(D71,[3]Bai2_VuotQua!$D$8:$I$120,6,FALSE),"NY")</f>
        <v>done</v>
      </c>
      <c r="H71" s="2" t="str">
        <f>IFERROR(VLOOKUP(D71,[3]Bai3_VuotQua!$D$8:$I$122,6,FALSE),"NY")</f>
        <v>done</v>
      </c>
      <c r="I71" s="2" t="str">
        <f>IFERROR(VLOOKUP(D71,[3]Bai4_VuotQua!$D$8:$I$117,6,FALSE),"NY")</f>
        <v>done</v>
      </c>
      <c r="J71" s="2" t="str">
        <f t="shared" si="1"/>
        <v>done all</v>
      </c>
      <c r="K71" s="2" t="s">
        <v>27</v>
      </c>
      <c r="L71" s="2" t="s">
        <v>20</v>
      </c>
      <c r="M71" s="2" t="str">
        <f>IFERROR(VLOOKUP(D71,[2]Hồng!$D$1:$M$21,10,FALSE),0)</f>
        <v>ok</v>
      </c>
    </row>
    <row r="72" spans="1:17" x14ac:dyDescent="0.25">
      <c r="A72" s="2">
        <v>70</v>
      </c>
      <c r="B72" s="2" t="s">
        <v>318</v>
      </c>
      <c r="C72" s="2" t="s">
        <v>319</v>
      </c>
      <c r="D72" s="2" t="s">
        <v>320</v>
      </c>
      <c r="E72" s="2" t="s">
        <v>321</v>
      </c>
      <c r="F72" s="2" t="str">
        <f>IFERROR(VLOOKUP(D72,[3]Bai1_VuotQua!$D$8:$I$143,6,FALSE),"NY")</f>
        <v>done</v>
      </c>
      <c r="G72" s="2" t="str">
        <f>IFERROR(VLOOKUP(D72,[3]Bai2_VuotQua!$D$8:$I$120,6,FALSE),"NY")</f>
        <v>done</v>
      </c>
      <c r="H72" s="2" t="str">
        <f>IFERROR(VLOOKUP(D72,[3]Bai3_VuotQua!$D$8:$I$122,6,FALSE),"NY")</f>
        <v>done</v>
      </c>
      <c r="I72" s="2" t="str">
        <f>IFERROR(VLOOKUP(D72,[3]Bai4_VuotQua!$D$8:$I$117,6,FALSE),"NY")</f>
        <v>done</v>
      </c>
      <c r="J72" s="2" t="str">
        <f t="shared" si="1"/>
        <v>done all</v>
      </c>
      <c r="K72" s="2" t="str">
        <f>VLOOKUP($D72,[1]Bai1_View!$E$2:$J$177,5,FALSE)</f>
        <v>HN</v>
      </c>
      <c r="L72" s="2" t="str">
        <f>VLOOKUP($D72,[1]Bai1_View!$E$2:$J$177,6,FALSE)</f>
        <v>C. Quy</v>
      </c>
      <c r="M72" s="2">
        <f>IFERROR(VLOOKUP(D72,[2]Hồng!$D$1:$M$21,10,FALSE),0)</f>
        <v>0</v>
      </c>
    </row>
    <row r="73" spans="1:17" x14ac:dyDescent="0.25">
      <c r="A73" s="2">
        <v>71</v>
      </c>
      <c r="B73" s="2" t="s">
        <v>322</v>
      </c>
      <c r="C73" s="2" t="s">
        <v>323</v>
      </c>
      <c r="D73" s="2" t="s">
        <v>324</v>
      </c>
      <c r="E73" s="2" t="s">
        <v>325</v>
      </c>
      <c r="F73" s="2" t="str">
        <f>IFERROR(VLOOKUP(D73,[3]Bai1_VuotQua!$D$8:$I$143,6,FALSE),"NY")</f>
        <v>done</v>
      </c>
      <c r="G73" s="2" t="str">
        <f>IFERROR(VLOOKUP(D73,[3]Bai2_VuotQua!$D$8:$I$120,6,FALSE),"NY")</f>
        <v>done</v>
      </c>
      <c r="H73" s="2" t="str">
        <f>IFERROR(VLOOKUP(D73,[3]Bai3_VuotQua!$D$8:$I$122,6,FALSE),"NY")</f>
        <v>done</v>
      </c>
      <c r="I73" s="2" t="str">
        <f>IFERROR(VLOOKUP(D73,[3]Bai4_VuotQua!$D$8:$I$117,6,FALSE),"NY")</f>
        <v>done</v>
      </c>
      <c r="J73" s="2" t="str">
        <f t="shared" si="1"/>
        <v>done all</v>
      </c>
      <c r="K73" s="2" t="str">
        <f>VLOOKUP($D73,[1]Bai1_View!$E$2:$J$177,5,FALSE)</f>
        <v>Đồng Nai</v>
      </c>
      <c r="L73" s="2" t="str">
        <f>VLOOKUP($D73,[1]Bai1_View!$E$2:$J$177,6,FALSE)</f>
        <v>A. Tho</v>
      </c>
      <c r="M73" s="2">
        <f>IFERROR(VLOOKUP(D73,[2]Hồng!$D$1:$M$21,10,FALSE),0)</f>
        <v>0</v>
      </c>
    </row>
    <row r="74" spans="1:17" x14ac:dyDescent="0.25">
      <c r="A74" s="2">
        <v>72</v>
      </c>
      <c r="B74" s="2" t="s">
        <v>326</v>
      </c>
      <c r="C74" s="2" t="s">
        <v>327</v>
      </c>
      <c r="D74" s="2" t="s">
        <v>328</v>
      </c>
      <c r="E74" s="2" t="s">
        <v>329</v>
      </c>
      <c r="F74" s="2" t="str">
        <f>IFERROR(VLOOKUP(D74,[3]Bai1_VuotQua!$D$8:$I$143,6,FALSE),"NY")</f>
        <v>done</v>
      </c>
      <c r="G74" s="2" t="str">
        <f>IFERROR(VLOOKUP(D74,[3]Bai2_VuotQua!$D$8:$I$120,6,FALSE),"NY")</f>
        <v>NY</v>
      </c>
      <c r="H74" s="2" t="str">
        <f>IFERROR(VLOOKUP(D74,[3]Bai3_VuotQua!$D$8:$I$122,6,FALSE),"NY")</f>
        <v>NY</v>
      </c>
      <c r="I74" s="2" t="str">
        <f>IFERROR(VLOOKUP(D74,[3]Bai4_VuotQua!$D$8:$I$117,6,FALSE),"NY")</f>
        <v>NY</v>
      </c>
      <c r="J74" s="2" t="str">
        <f t="shared" si="1"/>
        <v>done 1 lession</v>
      </c>
      <c r="K74" s="2" t="s">
        <v>27</v>
      </c>
      <c r="L74" s="2" t="s">
        <v>20</v>
      </c>
      <c r="M74" s="2">
        <f>IFERROR(VLOOKUP(D74,[2]Hồng!$D$1:$M$21,10,FALSE),0)</f>
        <v>0</v>
      </c>
    </row>
    <row r="75" spans="1:17" x14ac:dyDescent="0.25">
      <c r="A75" s="2">
        <v>73</v>
      </c>
      <c r="B75" s="2" t="s">
        <v>330</v>
      </c>
      <c r="C75" s="2" t="s">
        <v>331</v>
      </c>
      <c r="D75" s="2" t="s">
        <v>332</v>
      </c>
      <c r="E75" s="2" t="s">
        <v>333</v>
      </c>
      <c r="F75" s="2" t="str">
        <f>IFERROR(VLOOKUP(D75,[3]Bai1_VuotQua!$D$8:$I$143,6,FALSE),"NY")</f>
        <v>NY</v>
      </c>
      <c r="G75" s="2" t="str">
        <f>IFERROR(VLOOKUP(D75,[3]Bai2_VuotQua!$D$8:$I$120,6,FALSE),"NY")</f>
        <v>NY</v>
      </c>
      <c r="H75" s="2" t="str">
        <f>IFERROR(VLOOKUP(D75,[3]Bai3_VuotQua!$D$8:$I$122,6,FALSE),"NY")</f>
        <v>NY</v>
      </c>
      <c r="I75" s="2" t="str">
        <f>IFERROR(VLOOKUP(D75,[3]Bai4_VuotQua!$D$8:$I$117,6,FALSE),"NY")</f>
        <v>NY</v>
      </c>
      <c r="J75" s="2" t="str">
        <f t="shared" si="1"/>
        <v>NY</v>
      </c>
      <c r="K75" s="2" t="str">
        <f>VLOOKUP($D75,[1]Bai1_View!$E$2:$J$177,5,FALSE)</f>
        <v>HCM</v>
      </c>
      <c r="L75" s="2" t="str">
        <f>VLOOKUP($D75,[1]Bai1_View!$E$2:$J$177,6,FALSE)</f>
        <v>A. Tri</v>
      </c>
      <c r="M75" s="2">
        <f>IFERROR(VLOOKUP(D75,[2]Hồng!$D$1:$M$21,10,FALSE),0)</f>
        <v>0</v>
      </c>
    </row>
    <row r="76" spans="1:17" x14ac:dyDescent="0.25">
      <c r="A76" s="2">
        <v>74</v>
      </c>
      <c r="B76" s="2" t="s">
        <v>334</v>
      </c>
      <c r="C76" s="2" t="s">
        <v>335</v>
      </c>
      <c r="D76" s="2" t="s">
        <v>336</v>
      </c>
      <c r="E76" s="2" t="s">
        <v>337</v>
      </c>
      <c r="F76" s="2" t="str">
        <f>IFERROR(VLOOKUP(D76,[3]Bai1_VuotQua!$D$8:$I$143,6,FALSE),"NY")</f>
        <v>done</v>
      </c>
      <c r="G76" s="2" t="str">
        <f>IFERROR(VLOOKUP(D76,[3]Bai2_VuotQua!$D$8:$I$120,6,FALSE),"NY")</f>
        <v>done</v>
      </c>
      <c r="H76" s="2" t="str">
        <f>IFERROR(VLOOKUP(D76,[3]Bai3_VuotQua!$D$8:$I$122,6,FALSE),"NY")</f>
        <v>done</v>
      </c>
      <c r="I76" s="2" t="str">
        <f>IFERROR(VLOOKUP(D76,[3]Bai4_VuotQua!$D$8:$I$117,6,FALSE),"NY")</f>
        <v>NY</v>
      </c>
      <c r="J76" s="2" t="str">
        <f t="shared" si="1"/>
        <v>done 3 lession</v>
      </c>
      <c r="K76" s="2" t="s">
        <v>27</v>
      </c>
      <c r="L76" s="2" t="s">
        <v>20</v>
      </c>
      <c r="M76" s="2">
        <f>IFERROR(VLOOKUP(D76,[2]Hồng!$D$1:$M$21,10,FALSE),0)</f>
        <v>0</v>
      </c>
    </row>
    <row r="77" spans="1:17" x14ac:dyDescent="0.25">
      <c r="A77" s="2">
        <v>75</v>
      </c>
      <c r="B77" s="2" t="s">
        <v>338</v>
      </c>
      <c r="C77" s="2" t="s">
        <v>339</v>
      </c>
      <c r="D77" s="2" t="s">
        <v>340</v>
      </c>
      <c r="E77" s="2" t="s">
        <v>341</v>
      </c>
      <c r="F77" s="2" t="str">
        <f>IFERROR(VLOOKUP(D77,[3]Bai1_VuotQua!$D$8:$I$143,6,FALSE),"NY")</f>
        <v>done</v>
      </c>
      <c r="G77" s="2" t="str">
        <f>IFERROR(VLOOKUP(D77,[3]Bai2_VuotQua!$D$8:$I$120,6,FALSE),"NY")</f>
        <v>done</v>
      </c>
      <c r="H77" s="2" t="str">
        <f>IFERROR(VLOOKUP(D77,[3]Bai3_VuotQua!$D$8:$I$122,6,FALSE),"NY")</f>
        <v>done</v>
      </c>
      <c r="I77" s="2" t="str">
        <f>IFERROR(VLOOKUP(D77,[3]Bai4_VuotQua!$D$8:$I$117,6,FALSE),"NY")</f>
        <v>done</v>
      </c>
      <c r="J77" s="2" t="str">
        <f t="shared" si="1"/>
        <v>done all</v>
      </c>
      <c r="K77" s="2" t="str">
        <f>VLOOKUP($D77,[1]Bai1_View!$E$2:$J$177,5,FALSE)</f>
        <v>Khánh Hòa</v>
      </c>
      <c r="L77" s="2" t="str">
        <f>VLOOKUP($D77,[1]Bai1_View!$E$2:$J$177,6,FALSE)</f>
        <v>A. Tho</v>
      </c>
      <c r="M77" s="2">
        <f>IFERROR(VLOOKUP(D77,[2]Hồng!$D$1:$M$21,10,FALSE),0)</f>
        <v>0</v>
      </c>
    </row>
    <row r="78" spans="1:17" x14ac:dyDescent="0.25">
      <c r="A78" s="2">
        <v>76</v>
      </c>
      <c r="B78" s="2" t="s">
        <v>342</v>
      </c>
      <c r="C78" s="2" t="s">
        <v>343</v>
      </c>
      <c r="D78" s="2" t="s">
        <v>344</v>
      </c>
      <c r="E78" s="2" t="s">
        <v>345</v>
      </c>
      <c r="F78" s="2" t="str">
        <f>IFERROR(VLOOKUP(D78,[3]Bai1_VuotQua!$D$8:$I$143,6,FALSE),"NY")</f>
        <v>NY</v>
      </c>
      <c r="G78" s="2" t="str">
        <f>IFERROR(VLOOKUP(D78,[3]Bai2_VuotQua!$D$8:$I$120,6,FALSE),"NY")</f>
        <v>NY</v>
      </c>
      <c r="H78" s="2" t="str">
        <f>IFERROR(VLOOKUP(D78,[3]Bai3_VuotQua!$D$8:$I$122,6,FALSE),"NY")</f>
        <v>NY</v>
      </c>
      <c r="I78" s="2" t="str">
        <f>IFERROR(VLOOKUP(D78,[3]Bai4_VuotQua!$D$8:$I$117,6,FALSE),"NY")</f>
        <v>NY</v>
      </c>
      <c r="J78" s="2" t="str">
        <f t="shared" si="1"/>
        <v>NY</v>
      </c>
      <c r="K78" s="2" t="str">
        <f>VLOOKUP($D78,[1]Bai1_View!$E$2:$J$177,5,FALSE)</f>
        <v>Cần Thơ</v>
      </c>
      <c r="L78" s="2" t="str">
        <f>VLOOKUP($D78,[1]Bai1_View!$E$2:$J$177,6,FALSE)</f>
        <v>A. Tho</v>
      </c>
      <c r="M78" s="2">
        <f>IFERROR(VLOOKUP(D78,[2]Hồng!$D$1:$M$21,10,FALSE),0)</f>
        <v>0</v>
      </c>
    </row>
    <row r="79" spans="1:17" x14ac:dyDescent="0.25">
      <c r="A79" s="2">
        <v>77</v>
      </c>
      <c r="B79" s="2" t="s">
        <v>346</v>
      </c>
      <c r="C79" s="2" t="s">
        <v>347</v>
      </c>
      <c r="D79" s="2" t="s">
        <v>348</v>
      </c>
      <c r="E79" s="2" t="s">
        <v>349</v>
      </c>
      <c r="F79" s="2" t="str">
        <f>IFERROR(VLOOKUP(D79,[3]Bai1_VuotQua!$D$8:$I$143,6,FALSE),"NY")</f>
        <v>done</v>
      </c>
      <c r="G79" s="2" t="str">
        <f>IFERROR(VLOOKUP(D79,[3]Bai2_VuotQua!$D$8:$I$120,6,FALSE),"NY")</f>
        <v>done</v>
      </c>
      <c r="H79" s="2" t="str">
        <f>IFERROR(VLOOKUP(D79,[3]Bai3_VuotQua!$D$8:$I$122,6,FALSE),"NY")</f>
        <v>done</v>
      </c>
      <c r="I79" s="2" t="str">
        <f>IFERROR(VLOOKUP(D79,[3]Bai4_VuotQua!$D$8:$I$117,6,FALSE),"NY")</f>
        <v>done</v>
      </c>
      <c r="J79" s="2" t="str">
        <f t="shared" si="1"/>
        <v>done all</v>
      </c>
      <c r="K79" s="2" t="str">
        <f>VLOOKUP($D79,[1]Bai1_View!$E$2:$J$177,5,FALSE)</f>
        <v>HN</v>
      </c>
      <c r="L79" s="2" t="str">
        <f>VLOOKUP($D79,[1]Bai1_View!$E$2:$J$177,6,FALSE)</f>
        <v>C. Quy</v>
      </c>
      <c r="M79" s="2" t="str">
        <f>IFERROR(VLOOKUP(D79,[2]Hồng!$D$1:$M$21,10,FALSE),0)</f>
        <v>ok</v>
      </c>
    </row>
    <row r="80" spans="1:17" x14ac:dyDescent="0.25">
      <c r="A80" s="2">
        <v>78</v>
      </c>
      <c r="B80" s="2" t="s">
        <v>350</v>
      </c>
      <c r="C80" s="2" t="s">
        <v>351</v>
      </c>
      <c r="D80" s="2" t="s">
        <v>352</v>
      </c>
      <c r="E80" s="2" t="s">
        <v>353</v>
      </c>
      <c r="F80" s="2" t="str">
        <f>IFERROR(VLOOKUP(D80,[3]Bai1_VuotQua!$D$8:$I$143,6,FALSE),"NY")</f>
        <v>NY</v>
      </c>
      <c r="G80" s="2" t="str">
        <f>IFERROR(VLOOKUP(D80,[3]Bai2_VuotQua!$D$8:$I$120,6,FALSE),"NY")</f>
        <v>NY</v>
      </c>
      <c r="H80" s="2" t="str">
        <f>IFERROR(VLOOKUP(D80,[3]Bai3_VuotQua!$D$8:$I$122,6,FALSE),"NY")</f>
        <v>NY</v>
      </c>
      <c r="I80" s="2" t="str">
        <f>IFERROR(VLOOKUP(D80,[3]Bai4_VuotQua!$D$8:$I$117,6,FALSE),"NY")</f>
        <v>NY</v>
      </c>
      <c r="J80" s="2" t="str">
        <f t="shared" si="1"/>
        <v>NY</v>
      </c>
      <c r="K80" s="2" t="str">
        <f>VLOOKUP($D80,[1]Bai1_View!$E$2:$J$177,5,FALSE)</f>
        <v>HN</v>
      </c>
      <c r="L80" s="2" t="str">
        <f>VLOOKUP($D80,[1]Bai1_View!$E$2:$J$177,6,FALSE)</f>
        <v>C. Quy</v>
      </c>
      <c r="M80" s="2">
        <f>IFERROR(VLOOKUP(D80,[2]Hồng!$D$1:$M$21,10,FALSE),0)</f>
        <v>0</v>
      </c>
    </row>
    <row r="81" spans="1:13" x14ac:dyDescent="0.25">
      <c r="A81" s="2">
        <v>79</v>
      </c>
      <c r="B81" s="2" t="s">
        <v>354</v>
      </c>
      <c r="C81" s="2" t="s">
        <v>355</v>
      </c>
      <c r="D81" s="2" t="s">
        <v>356</v>
      </c>
      <c r="E81" s="2" t="s">
        <v>357</v>
      </c>
      <c r="F81" s="2" t="str">
        <f>IFERROR(VLOOKUP(D81,[3]Bai1_VuotQua!$D$8:$I$143,6,FALSE),"NY")</f>
        <v>done</v>
      </c>
      <c r="G81" s="2" t="str">
        <f>IFERROR(VLOOKUP(D81,[3]Bai2_VuotQua!$D$8:$I$120,6,FALSE),"NY")</f>
        <v>done</v>
      </c>
      <c r="H81" s="2" t="str">
        <f>IFERROR(VLOOKUP(D81,[3]Bai3_VuotQua!$D$8:$I$122,6,FALSE),"NY")</f>
        <v>done</v>
      </c>
      <c r="I81" s="2" t="str">
        <f>IFERROR(VLOOKUP(D81,[3]Bai4_VuotQua!$D$8:$I$117,6,FALSE),"NY")</f>
        <v>done</v>
      </c>
      <c r="J81" s="2" t="str">
        <f t="shared" si="1"/>
        <v>done all</v>
      </c>
      <c r="K81" s="2" t="str">
        <f>VLOOKUP($D81,[1]Bai1_View!$E$2:$J$177,5,FALSE)</f>
        <v>HN</v>
      </c>
      <c r="L81" s="2" t="str">
        <f>VLOOKUP($D81,[1]Bai1_View!$E$2:$J$177,6,FALSE)</f>
        <v>C. Quy</v>
      </c>
      <c r="M81" s="2">
        <f>IFERROR(VLOOKUP(D81,[2]Hồng!$D$1:$M$21,10,FALSE),0)</f>
        <v>0</v>
      </c>
    </row>
    <row r="82" spans="1:13" x14ac:dyDescent="0.25">
      <c r="A82" s="2">
        <v>80</v>
      </c>
      <c r="B82" s="2" t="s">
        <v>358</v>
      </c>
      <c r="C82" s="2" t="s">
        <v>359</v>
      </c>
      <c r="D82" s="2" t="s">
        <v>360</v>
      </c>
      <c r="E82" s="2" t="s">
        <v>361</v>
      </c>
      <c r="F82" s="2" t="str">
        <f>IFERROR(VLOOKUP(D82,[3]Bai1_VuotQua!$D$8:$I$143,6,FALSE),"NY")</f>
        <v>NY</v>
      </c>
      <c r="G82" s="2" t="str">
        <f>IFERROR(VLOOKUP(D82,[3]Bai2_VuotQua!$D$8:$I$120,6,FALSE),"NY")</f>
        <v>NY</v>
      </c>
      <c r="H82" s="2" t="str">
        <f>IFERROR(VLOOKUP(D82,[3]Bai3_VuotQua!$D$8:$I$122,6,FALSE),"NY")</f>
        <v>NY</v>
      </c>
      <c r="I82" s="2" t="str">
        <f>IFERROR(VLOOKUP(D82,[3]Bai4_VuotQua!$D$8:$I$117,6,FALSE),"NY")</f>
        <v>NY</v>
      </c>
      <c r="J82" s="2" t="str">
        <f t="shared" si="1"/>
        <v>NY</v>
      </c>
      <c r="K82" s="2" t="str">
        <f>VLOOKUP($D82,[1]Bai1_View!$E$2:$J$177,5,FALSE)</f>
        <v>HCM</v>
      </c>
      <c r="L82" s="2" t="str">
        <f>VLOOKUP($D82,[1]Bai1_View!$E$2:$J$177,6,FALSE)</f>
        <v>A. Tri</v>
      </c>
      <c r="M82" s="2">
        <f>IFERROR(VLOOKUP(D82,[2]Hồng!$D$1:$M$21,10,FALSE),0)</f>
        <v>0</v>
      </c>
    </row>
    <row r="83" spans="1:13" x14ac:dyDescent="0.25">
      <c r="A83" s="2">
        <v>81</v>
      </c>
      <c r="B83" s="2" t="s">
        <v>362</v>
      </c>
      <c r="C83" s="2" t="s">
        <v>363</v>
      </c>
      <c r="D83" s="2" t="s">
        <v>364</v>
      </c>
      <c r="E83" s="2" t="s">
        <v>365</v>
      </c>
      <c r="F83" s="2" t="str">
        <f>IFERROR(VLOOKUP(D83,[3]Bai1_VuotQua!$D$8:$I$143,6,FALSE),"NY")</f>
        <v>done</v>
      </c>
      <c r="G83" s="2" t="str">
        <f>IFERROR(VLOOKUP(D83,[3]Bai2_VuotQua!$D$8:$I$120,6,FALSE),"NY")</f>
        <v>done</v>
      </c>
      <c r="H83" s="2" t="str">
        <f>IFERROR(VLOOKUP(D83,[3]Bai3_VuotQua!$D$8:$I$122,6,FALSE),"NY")</f>
        <v>done</v>
      </c>
      <c r="I83" s="2" t="str">
        <f>IFERROR(VLOOKUP(D83,[3]Bai4_VuotQua!$D$8:$I$117,6,FALSE),"NY")</f>
        <v>done</v>
      </c>
      <c r="J83" s="2" t="str">
        <f t="shared" si="1"/>
        <v>done all</v>
      </c>
      <c r="K83" s="2" t="str">
        <f>VLOOKUP($D83,[1]Bai1_View!$E$2:$J$177,5,FALSE)</f>
        <v>Cần Thơ</v>
      </c>
      <c r="L83" s="2" t="str">
        <f>VLOOKUP($D83,[1]Bai1_View!$E$2:$J$177,6,FALSE)</f>
        <v>A. Tho</v>
      </c>
      <c r="M83" s="2">
        <f>IFERROR(VLOOKUP(D83,[2]Hồng!$D$1:$M$21,10,FALSE),0)</f>
        <v>0</v>
      </c>
    </row>
    <row r="84" spans="1:13" x14ac:dyDescent="0.25">
      <c r="A84" s="2">
        <v>82</v>
      </c>
      <c r="B84" s="2" t="s">
        <v>366</v>
      </c>
      <c r="C84" s="2" t="s">
        <v>367</v>
      </c>
      <c r="D84" s="2" t="s">
        <v>368</v>
      </c>
      <c r="E84" s="2" t="s">
        <v>369</v>
      </c>
      <c r="F84" s="2" t="str">
        <f>IFERROR(VLOOKUP(D84,[3]Bai1_VuotQua!$D$8:$I$143,6,FALSE),"NY")</f>
        <v>done</v>
      </c>
      <c r="G84" s="2" t="str">
        <f>IFERROR(VLOOKUP(D84,[3]Bai2_VuotQua!$D$8:$I$120,6,FALSE),"NY")</f>
        <v>done</v>
      </c>
      <c r="H84" s="2" t="str">
        <f>IFERROR(VLOOKUP(D84,[3]Bai3_VuotQua!$D$8:$I$122,6,FALSE),"NY")</f>
        <v>done</v>
      </c>
      <c r="I84" s="2" t="str">
        <f>IFERROR(VLOOKUP(D84,[3]Bai4_VuotQua!$D$8:$I$117,6,FALSE),"NY")</f>
        <v>done</v>
      </c>
      <c r="J84" s="2" t="str">
        <f t="shared" si="1"/>
        <v>done all</v>
      </c>
      <c r="K84" s="2" t="s">
        <v>27</v>
      </c>
      <c r="L84" s="2" t="s">
        <v>20</v>
      </c>
      <c r="M84" s="2">
        <f>IFERROR(VLOOKUP(D84,[2]Hồng!$D$1:$M$21,10,FALSE),0)</f>
        <v>0</v>
      </c>
    </row>
    <row r="85" spans="1:13" x14ac:dyDescent="0.25">
      <c r="A85" s="2">
        <v>83</v>
      </c>
      <c r="B85" s="2" t="s">
        <v>370</v>
      </c>
      <c r="C85" s="2" t="s">
        <v>371</v>
      </c>
      <c r="D85" s="2" t="s">
        <v>372</v>
      </c>
      <c r="E85" s="2" t="s">
        <v>373</v>
      </c>
      <c r="F85" s="2" t="str">
        <f>IFERROR(VLOOKUP(D85,[3]Bai1_VuotQua!$D$8:$I$143,6,FALSE),"NY")</f>
        <v>done</v>
      </c>
      <c r="G85" s="2" t="str">
        <f>IFERROR(VLOOKUP(D85,[3]Bai2_VuotQua!$D$8:$I$120,6,FALSE),"NY")</f>
        <v>done</v>
      </c>
      <c r="H85" s="2" t="str">
        <f>IFERROR(VLOOKUP(D85,[3]Bai3_VuotQua!$D$8:$I$122,6,FALSE),"NY")</f>
        <v>done</v>
      </c>
      <c r="I85" s="2" t="str">
        <f>IFERROR(VLOOKUP(D85,[3]Bai4_VuotQua!$D$8:$I$117,6,FALSE),"NY")</f>
        <v>done</v>
      </c>
      <c r="J85" s="2" t="str">
        <f t="shared" si="1"/>
        <v>done all</v>
      </c>
      <c r="K85" s="2" t="str">
        <f>VLOOKUP($D85,[1]Bai1_View!$E$2:$J$177,5,FALSE)</f>
        <v>Đăk Lăk</v>
      </c>
      <c r="L85" s="2" t="str">
        <f>VLOOKUP($D85,[1]Bai1_View!$E$2:$J$177,6,FALSE)</f>
        <v>A. Tho</v>
      </c>
      <c r="M85" s="2">
        <f>IFERROR(VLOOKUP(D85,[2]Hồng!$D$1:$M$21,10,FALSE),0)</f>
        <v>0</v>
      </c>
    </row>
    <row r="86" spans="1:13" x14ac:dyDescent="0.25">
      <c r="A86" s="2">
        <v>84</v>
      </c>
      <c r="B86" s="2" t="s">
        <v>374</v>
      </c>
      <c r="C86" s="2" t="s">
        <v>375</v>
      </c>
      <c r="D86" s="2" t="s">
        <v>376</v>
      </c>
      <c r="E86" s="2" t="s">
        <v>377</v>
      </c>
      <c r="F86" s="2" t="str">
        <f>IFERROR(VLOOKUP(D86,[3]Bai1_VuotQua!$D$8:$I$143,6,FALSE),"NY")</f>
        <v>NY</v>
      </c>
      <c r="G86" s="2" t="str">
        <f>IFERROR(VLOOKUP(D86,[3]Bai2_VuotQua!$D$8:$I$120,6,FALSE),"NY")</f>
        <v>done</v>
      </c>
      <c r="H86" s="2" t="str">
        <f>IFERROR(VLOOKUP(D86,[3]Bai3_VuotQua!$D$8:$I$122,6,FALSE),"NY")</f>
        <v>done</v>
      </c>
      <c r="I86" s="2" t="str">
        <f>IFERROR(VLOOKUP(D86,[3]Bai4_VuotQua!$D$8:$I$117,6,FALSE),"NY")</f>
        <v>NY</v>
      </c>
      <c r="J86" s="2" t="str">
        <f t="shared" si="1"/>
        <v>done 2 lession</v>
      </c>
      <c r="K86" s="2" t="s">
        <v>27</v>
      </c>
      <c r="L86" s="2" t="s">
        <v>20</v>
      </c>
      <c r="M86" s="2">
        <f>IFERROR(VLOOKUP(D86,[2]Hồng!$D$1:$M$21,10,FALSE),0)</f>
        <v>0</v>
      </c>
    </row>
    <row r="87" spans="1:13" x14ac:dyDescent="0.25">
      <c r="A87" s="2">
        <v>85</v>
      </c>
      <c r="B87" s="2" t="s">
        <v>378</v>
      </c>
      <c r="C87" s="2" t="s">
        <v>379</v>
      </c>
      <c r="D87" s="2" t="s">
        <v>380</v>
      </c>
      <c r="E87" s="2" t="s">
        <v>381</v>
      </c>
      <c r="F87" s="2" t="str">
        <f>IFERROR(VLOOKUP(D87,[3]Bai1_VuotQua!$D$8:$I$143,6,FALSE),"NY")</f>
        <v>NY</v>
      </c>
      <c r="G87" s="2" t="str">
        <f>IFERROR(VLOOKUP(D87,[3]Bai2_VuotQua!$D$8:$I$120,6,FALSE),"NY")</f>
        <v>NY</v>
      </c>
      <c r="H87" s="2" t="str">
        <f>IFERROR(VLOOKUP(D87,[3]Bai3_VuotQua!$D$8:$I$122,6,FALSE),"NY")</f>
        <v>NY</v>
      </c>
      <c r="I87" s="2" t="str">
        <f>IFERROR(VLOOKUP(D87,[3]Bai4_VuotQua!$D$8:$I$117,6,FALSE),"NY")</f>
        <v>NY</v>
      </c>
      <c r="J87" s="2" t="str">
        <f t="shared" si="1"/>
        <v>NY</v>
      </c>
      <c r="K87" s="2" t="s">
        <v>27</v>
      </c>
      <c r="L87" s="2" t="s">
        <v>20</v>
      </c>
      <c r="M87" s="2">
        <f>IFERROR(VLOOKUP(D87,[2]Hồng!$D$1:$M$21,10,FALSE),0)</f>
        <v>0</v>
      </c>
    </row>
    <row r="88" spans="1:13" x14ac:dyDescent="0.25">
      <c r="A88" s="2">
        <v>86</v>
      </c>
      <c r="B88" s="2" t="s">
        <v>382</v>
      </c>
      <c r="C88" s="2" t="s">
        <v>383</v>
      </c>
      <c r="D88" s="2" t="s">
        <v>384</v>
      </c>
      <c r="E88" s="2" t="s">
        <v>385</v>
      </c>
      <c r="F88" s="2" t="str">
        <f>IFERROR(VLOOKUP(D88,[3]Bai1_VuotQua!$D$8:$I$143,6,FALSE),"NY")</f>
        <v>NY</v>
      </c>
      <c r="G88" s="2" t="str">
        <f>IFERROR(VLOOKUP(D88,[3]Bai2_VuotQua!$D$8:$I$120,6,FALSE),"NY")</f>
        <v>NY</v>
      </c>
      <c r="H88" s="2" t="str">
        <f>IFERROR(VLOOKUP(D88,[3]Bai3_VuotQua!$D$8:$I$122,6,FALSE),"NY")</f>
        <v>NY</v>
      </c>
      <c r="I88" s="2" t="str">
        <f>IFERROR(VLOOKUP(D88,[3]Bai4_VuotQua!$D$8:$I$117,6,FALSE),"NY")</f>
        <v>NY</v>
      </c>
      <c r="J88" s="2" t="str">
        <f t="shared" si="1"/>
        <v>NY</v>
      </c>
      <c r="K88" s="2" t="str">
        <f>VLOOKUP($D88,[1]Bai1_View!$E$2:$J$177,5,FALSE)</f>
        <v>Khánh Hòa</v>
      </c>
      <c r="L88" s="2" t="str">
        <f>VLOOKUP($D88,[1]Bai1_View!$E$2:$J$177,6,FALSE)</f>
        <v>A. Tho</v>
      </c>
      <c r="M88" s="2">
        <f>IFERROR(VLOOKUP(D88,[2]Hồng!$D$1:$M$21,10,FALSE),0)</f>
        <v>0</v>
      </c>
    </row>
    <row r="89" spans="1:13" x14ac:dyDescent="0.25">
      <c r="A89" s="2">
        <v>87</v>
      </c>
      <c r="B89" s="2" t="s">
        <v>386</v>
      </c>
      <c r="C89" s="2" t="s">
        <v>387</v>
      </c>
      <c r="D89" s="2" t="s">
        <v>388</v>
      </c>
      <c r="E89" s="2" t="s">
        <v>389</v>
      </c>
      <c r="F89" s="2" t="str">
        <f>IFERROR(VLOOKUP(D89,[3]Bai1_VuotQua!$D$8:$I$143,6,FALSE),"NY")</f>
        <v>NY</v>
      </c>
      <c r="G89" s="2" t="str">
        <f>IFERROR(VLOOKUP(D89,[3]Bai2_VuotQua!$D$8:$I$120,6,FALSE),"NY")</f>
        <v>NY</v>
      </c>
      <c r="H89" s="2" t="str">
        <f>IFERROR(VLOOKUP(D89,[3]Bai3_VuotQua!$D$8:$I$122,6,FALSE),"NY")</f>
        <v>NY</v>
      </c>
      <c r="I89" s="2" t="str">
        <f>IFERROR(VLOOKUP(D89,[3]Bai4_VuotQua!$D$8:$I$117,6,FALSE),"NY")</f>
        <v>NY</v>
      </c>
      <c r="J89" s="2" t="str">
        <f t="shared" si="1"/>
        <v>NY</v>
      </c>
      <c r="K89" s="2" t="str">
        <f>VLOOKUP($D89,[1]Bai1_View!$E$2:$J$177,5,FALSE)</f>
        <v>Bình Dương</v>
      </c>
      <c r="L89" s="2" t="str">
        <f>VLOOKUP($D89,[1]Bai1_View!$E$2:$J$177,6,FALSE)</f>
        <v>A. Tho</v>
      </c>
      <c r="M89" s="2">
        <f>IFERROR(VLOOKUP(D89,[2]Hồng!$D$1:$M$21,10,FALSE),0)</f>
        <v>0</v>
      </c>
    </row>
    <row r="90" spans="1:13" x14ac:dyDescent="0.25">
      <c r="A90" s="2">
        <v>88</v>
      </c>
      <c r="B90" s="2" t="s">
        <v>390</v>
      </c>
      <c r="C90" s="2" t="s">
        <v>391</v>
      </c>
      <c r="D90" s="2" t="s">
        <v>392</v>
      </c>
      <c r="E90" s="2" t="s">
        <v>393</v>
      </c>
      <c r="F90" s="2" t="str">
        <f>IFERROR(VLOOKUP(D90,[3]Bai1_VuotQua!$D$8:$I$143,6,FALSE),"NY")</f>
        <v>done</v>
      </c>
      <c r="G90" s="2" t="str">
        <f>IFERROR(VLOOKUP(D90,[3]Bai2_VuotQua!$D$8:$I$120,6,FALSE),"NY")</f>
        <v>done</v>
      </c>
      <c r="H90" s="2" t="str">
        <f>IFERROR(VLOOKUP(D90,[3]Bai3_VuotQua!$D$8:$I$122,6,FALSE),"NY")</f>
        <v>done</v>
      </c>
      <c r="I90" s="2" t="str">
        <f>IFERROR(VLOOKUP(D90,[3]Bai4_VuotQua!$D$8:$I$117,6,FALSE),"NY")</f>
        <v>done</v>
      </c>
      <c r="J90" s="2" t="s">
        <v>45</v>
      </c>
      <c r="K90" s="2" t="str">
        <f>VLOOKUP($D90,[1]Bai1_View!$E$2:$J$177,5,FALSE)</f>
        <v>HN</v>
      </c>
      <c r="L90" s="2" t="str">
        <f>VLOOKUP($D90,[1]Bai1_View!$E$2:$J$177,6,FALSE)</f>
        <v>C. Quy</v>
      </c>
      <c r="M90" s="2" t="str">
        <f>IFERROR(VLOOKUP(D90,[2]Hồng!$D$1:$M$21,10,FALSE),0)</f>
        <v>Đã xem và học hết bài</v>
      </c>
    </row>
    <row r="91" spans="1:13" x14ac:dyDescent="0.25">
      <c r="A91" s="2">
        <v>89</v>
      </c>
      <c r="B91" s="2" t="s">
        <v>394</v>
      </c>
      <c r="C91" s="2" t="s">
        <v>395</v>
      </c>
      <c r="D91" s="2" t="s">
        <v>396</v>
      </c>
      <c r="E91" s="2" t="s">
        <v>397</v>
      </c>
      <c r="F91" s="2" t="str">
        <f>IFERROR(VLOOKUP(D91,[3]Bai1_VuotQua!$D$8:$I$143,6,FALSE),"NY")</f>
        <v>done</v>
      </c>
      <c r="G91" s="2" t="str">
        <f>IFERROR(VLOOKUP(D91,[3]Bai2_VuotQua!$D$8:$I$120,6,FALSE),"NY")</f>
        <v>done</v>
      </c>
      <c r="H91" s="2" t="str">
        <f>IFERROR(VLOOKUP(D91,[3]Bai3_VuotQua!$D$8:$I$122,6,FALSE),"NY")</f>
        <v>done</v>
      </c>
      <c r="I91" s="2" t="str">
        <f>IFERROR(VLOOKUP(D91,[3]Bai4_VuotQua!$D$8:$I$117,6,FALSE),"NY")</f>
        <v>done</v>
      </c>
      <c r="J91" s="2" t="str">
        <f t="shared" si="1"/>
        <v>done all</v>
      </c>
      <c r="K91" s="2" t="str">
        <f>VLOOKUP($D91,[1]Bai1_View!$E$2:$J$177,5,FALSE)</f>
        <v>HN</v>
      </c>
      <c r="L91" s="2" t="str">
        <f>VLOOKUP($D91,[1]Bai1_View!$E$2:$J$177,6,FALSE)</f>
        <v>C. Quy</v>
      </c>
      <c r="M91" s="2" t="str">
        <f>IFERROR(VLOOKUP(D91,[2]Hồng!$D$1:$M$21,10,FALSE),0)</f>
        <v>ok</v>
      </c>
    </row>
    <row r="92" spans="1:13" x14ac:dyDescent="0.25">
      <c r="A92" s="2">
        <v>90</v>
      </c>
      <c r="B92" s="2" t="s">
        <v>398</v>
      </c>
      <c r="C92" s="2" t="s">
        <v>399</v>
      </c>
      <c r="D92" s="2" t="s">
        <v>400</v>
      </c>
      <c r="E92" s="2" t="s">
        <v>401</v>
      </c>
      <c r="F92" s="2" t="str">
        <f>IFERROR(VLOOKUP(D92,[3]Bai1_VuotQua!$D$8:$I$143,6,FALSE),"NY")</f>
        <v>NY</v>
      </c>
      <c r="G92" s="2" t="str">
        <f>IFERROR(VLOOKUP(D92,[3]Bai2_VuotQua!$D$8:$I$120,6,FALSE),"NY")</f>
        <v>NY</v>
      </c>
      <c r="H92" s="2" t="str">
        <f>IFERROR(VLOOKUP(D92,[3]Bai3_VuotQua!$D$8:$I$122,6,FALSE),"NY")</f>
        <v>NY</v>
      </c>
      <c r="I92" s="2" t="str">
        <f>IFERROR(VLOOKUP(D92,[3]Bai4_VuotQua!$D$8:$I$117,6,FALSE),"NY")</f>
        <v>NY</v>
      </c>
      <c r="J92" s="2" t="str">
        <f t="shared" si="1"/>
        <v>NY</v>
      </c>
      <c r="K92" s="2" t="str">
        <f>VLOOKUP($D92,[1]Bai1_View!$E$2:$J$177,5,FALSE)</f>
        <v>HCM</v>
      </c>
      <c r="L92" s="2" t="str">
        <f>VLOOKUP($D92,[1]Bai1_View!$E$2:$J$177,6,FALSE)</f>
        <v>A. Tri</v>
      </c>
      <c r="M92" s="2">
        <f>IFERROR(VLOOKUP(D92,[2]Hồng!$D$1:$M$21,10,FALSE),0)</f>
        <v>0</v>
      </c>
    </row>
    <row r="93" spans="1:13" x14ac:dyDescent="0.25">
      <c r="A93" s="2">
        <v>91</v>
      </c>
      <c r="B93" s="2" t="s">
        <v>402</v>
      </c>
      <c r="C93" s="2" t="s">
        <v>403</v>
      </c>
      <c r="D93" s="2" t="s">
        <v>404</v>
      </c>
      <c r="E93" s="2" t="s">
        <v>405</v>
      </c>
      <c r="F93" s="2" t="str">
        <f>IFERROR(VLOOKUP(D93,[3]Bai1_VuotQua!$D$8:$I$143,6,FALSE),"NY")</f>
        <v>NY</v>
      </c>
      <c r="G93" s="2" t="str">
        <f>IFERROR(VLOOKUP(D93,[3]Bai2_VuotQua!$D$8:$I$120,6,FALSE),"NY")</f>
        <v>NY</v>
      </c>
      <c r="H93" s="2" t="str">
        <f>IFERROR(VLOOKUP(D93,[3]Bai3_VuotQua!$D$8:$I$122,6,FALSE),"NY")</f>
        <v>NY</v>
      </c>
      <c r="I93" s="2" t="str">
        <f>IFERROR(VLOOKUP(D93,[3]Bai4_VuotQua!$D$8:$I$117,6,FALSE),"NY")</f>
        <v>NY</v>
      </c>
      <c r="J93" s="2" t="str">
        <f t="shared" si="1"/>
        <v>NY</v>
      </c>
      <c r="K93" s="2" t="s">
        <v>27</v>
      </c>
      <c r="L93" s="2" t="s">
        <v>20</v>
      </c>
      <c r="M93" s="2">
        <f>IFERROR(VLOOKUP(D93,[2]Hồng!$D$1:$M$21,10,FALSE),0)</f>
        <v>0</v>
      </c>
    </row>
    <row r="94" spans="1:13" x14ac:dyDescent="0.25">
      <c r="A94" s="2">
        <v>92</v>
      </c>
      <c r="B94" s="2" t="s">
        <v>406</v>
      </c>
      <c r="C94" s="2" t="s">
        <v>407</v>
      </c>
      <c r="D94" s="2" t="s">
        <v>408</v>
      </c>
      <c r="E94" s="2" t="s">
        <v>409</v>
      </c>
      <c r="F94" s="2" t="str">
        <f>IFERROR(VLOOKUP(D94,[3]Bai1_VuotQua!$D$8:$I$143,6,FALSE),"NY")</f>
        <v>NY</v>
      </c>
      <c r="G94" s="2" t="str">
        <f>IFERROR(VLOOKUP(D94,[3]Bai2_VuotQua!$D$8:$I$120,6,FALSE),"NY")</f>
        <v>NY</v>
      </c>
      <c r="H94" s="2" t="str">
        <f>IFERROR(VLOOKUP(D94,[3]Bai3_VuotQua!$D$8:$I$122,6,FALSE),"NY")</f>
        <v>NY</v>
      </c>
      <c r="I94" s="2" t="str">
        <f>IFERROR(VLOOKUP(D94,[3]Bai4_VuotQua!$D$8:$I$117,6,FALSE),"NY")</f>
        <v>NY</v>
      </c>
      <c r="J94" s="2" t="str">
        <f t="shared" si="1"/>
        <v>NY</v>
      </c>
      <c r="K94" s="2" t="s">
        <v>27</v>
      </c>
      <c r="L94" s="2" t="s">
        <v>20</v>
      </c>
      <c r="M94" s="2">
        <f>IFERROR(VLOOKUP(D94,[2]Hồng!$D$1:$M$21,10,FALSE),0)</f>
        <v>0</v>
      </c>
    </row>
    <row r="95" spans="1:13" x14ac:dyDescent="0.25">
      <c r="A95" s="2">
        <v>93</v>
      </c>
      <c r="B95" s="2" t="s">
        <v>410</v>
      </c>
      <c r="C95" s="2" t="s">
        <v>411</v>
      </c>
      <c r="D95" s="2" t="s">
        <v>412</v>
      </c>
      <c r="E95" s="2" t="s">
        <v>413</v>
      </c>
      <c r="F95" s="2" t="str">
        <f>IFERROR(VLOOKUP(D95,[3]Bai1_VuotQua!$D$8:$I$143,6,FALSE),"NY")</f>
        <v>done</v>
      </c>
      <c r="G95" s="2" t="str">
        <f>IFERROR(VLOOKUP(D95,[3]Bai2_VuotQua!$D$8:$I$120,6,FALSE),"NY")</f>
        <v>done</v>
      </c>
      <c r="H95" s="2" t="str">
        <f>IFERROR(VLOOKUP(D95,[3]Bai3_VuotQua!$D$8:$I$122,6,FALSE),"NY")</f>
        <v>done</v>
      </c>
      <c r="I95" s="2" t="str">
        <f>IFERROR(VLOOKUP(D95,[3]Bai4_VuotQua!$D$8:$I$117,6,FALSE),"NY")</f>
        <v>done</v>
      </c>
      <c r="J95" s="2" t="str">
        <f t="shared" si="1"/>
        <v>done all</v>
      </c>
      <c r="K95" s="2" t="str">
        <f>VLOOKUP($D95,[1]Bai1_View!$E$2:$J$177,5,FALSE)</f>
        <v>Đồng Nai</v>
      </c>
      <c r="L95" s="2" t="str">
        <f>VLOOKUP($D95,[1]Bai1_View!$E$2:$J$177,6,FALSE)</f>
        <v>A. Tho</v>
      </c>
      <c r="M95" s="2">
        <f>IFERROR(VLOOKUP(D95,[2]Hồng!$D$1:$M$21,10,FALSE),0)</f>
        <v>0</v>
      </c>
    </row>
    <row r="96" spans="1:13" x14ac:dyDescent="0.25">
      <c r="A96" s="2">
        <v>94</v>
      </c>
      <c r="B96" s="2" t="s">
        <v>414</v>
      </c>
      <c r="C96" s="2" t="s">
        <v>415</v>
      </c>
      <c r="D96" s="2" t="s">
        <v>416</v>
      </c>
      <c r="E96" s="2" t="s">
        <v>417</v>
      </c>
      <c r="F96" s="2" t="str">
        <f>IFERROR(VLOOKUP(D96,[3]Bai1_VuotQua!$D$8:$I$143,6,FALSE),"NY")</f>
        <v>NY</v>
      </c>
      <c r="G96" s="2" t="str">
        <f>IFERROR(VLOOKUP(D96,[3]Bai2_VuotQua!$D$8:$I$120,6,FALSE),"NY")</f>
        <v>NY</v>
      </c>
      <c r="H96" s="2" t="str">
        <f>IFERROR(VLOOKUP(D96,[3]Bai3_VuotQua!$D$8:$I$122,6,FALSE),"NY")</f>
        <v>NY</v>
      </c>
      <c r="I96" s="2" t="str">
        <f>IFERROR(VLOOKUP(D96,[3]Bai4_VuotQua!$D$8:$I$117,6,FALSE),"NY")</f>
        <v>NY</v>
      </c>
      <c r="J96" s="2" t="str">
        <f t="shared" si="1"/>
        <v>NY</v>
      </c>
      <c r="K96" s="2" t="str">
        <f>VLOOKUP($D96,[1]Bai1_View!$E$2:$J$177,5,FALSE)</f>
        <v>An Giang</v>
      </c>
      <c r="L96" s="2" t="str">
        <f>VLOOKUP($D96,[1]Bai1_View!$E$2:$J$177,6,FALSE)</f>
        <v>A. Tho</v>
      </c>
      <c r="M96" s="2">
        <f>IFERROR(VLOOKUP(D96,[2]Hồng!$D$1:$M$21,10,FALSE),0)</f>
        <v>0</v>
      </c>
    </row>
    <row r="97" spans="1:13" x14ac:dyDescent="0.25">
      <c r="A97" s="2">
        <v>95</v>
      </c>
      <c r="B97" s="2" t="s">
        <v>418</v>
      </c>
      <c r="C97" s="2" t="s">
        <v>419</v>
      </c>
      <c r="D97" s="2" t="s">
        <v>420</v>
      </c>
      <c r="E97" s="2" t="s">
        <v>421</v>
      </c>
      <c r="F97" s="2" t="str">
        <f>IFERROR(VLOOKUP(D97,[3]Bai1_VuotQua!$D$8:$I$143,6,FALSE),"NY")</f>
        <v>NY</v>
      </c>
      <c r="G97" s="2" t="str">
        <f>IFERROR(VLOOKUP(D97,[3]Bai2_VuotQua!$D$8:$I$120,6,FALSE),"NY")</f>
        <v>NY</v>
      </c>
      <c r="H97" s="2" t="str">
        <f>IFERROR(VLOOKUP(D97,[3]Bai3_VuotQua!$D$8:$I$122,6,FALSE),"NY")</f>
        <v>NY</v>
      </c>
      <c r="I97" s="2" t="str">
        <f>IFERROR(VLOOKUP(D97,[3]Bai4_VuotQua!$D$8:$I$117,6,FALSE),"NY")</f>
        <v>NY</v>
      </c>
      <c r="J97" s="2" t="str">
        <f t="shared" si="1"/>
        <v>NY</v>
      </c>
      <c r="K97" s="2" t="str">
        <f>VLOOKUP($D97,[1]Bai1_View!$E$2:$J$177,5,FALSE)</f>
        <v>HN</v>
      </c>
      <c r="L97" s="2" t="str">
        <f>VLOOKUP($D97,[1]Bai1_View!$E$2:$J$177,6,FALSE)</f>
        <v>C. Quy</v>
      </c>
      <c r="M97" s="2" t="str">
        <f>IFERROR(VLOOKUP(D97,[2]Hồng!$D$1:$M$21,10,FALSE),0)</f>
        <v>k kịp tham gia</v>
      </c>
    </row>
    <row r="98" spans="1:13" x14ac:dyDescent="0.25">
      <c r="A98" s="2">
        <v>96</v>
      </c>
      <c r="B98" s="2" t="s">
        <v>422</v>
      </c>
      <c r="C98" s="2" t="s">
        <v>423</v>
      </c>
      <c r="D98" s="2" t="s">
        <v>424</v>
      </c>
      <c r="E98" s="2" t="s">
        <v>425</v>
      </c>
      <c r="F98" s="2" t="str">
        <f>IFERROR(VLOOKUP(D98,[3]Bai1_VuotQua!$D$8:$I$143,6,FALSE),"NY")</f>
        <v>done</v>
      </c>
      <c r="G98" s="2" t="str">
        <f>IFERROR(VLOOKUP(D98,[3]Bai2_VuotQua!$D$8:$I$120,6,FALSE),"NY")</f>
        <v>done</v>
      </c>
      <c r="H98" s="2" t="str">
        <f>IFERROR(VLOOKUP(D98,[3]Bai3_VuotQua!$D$8:$I$122,6,FALSE),"NY")</f>
        <v>done</v>
      </c>
      <c r="I98" s="2" t="str">
        <f>IFERROR(VLOOKUP(D98,[3]Bai4_VuotQua!$D$8:$I$117,6,FALSE),"NY")</f>
        <v>done</v>
      </c>
      <c r="J98" s="2" t="str">
        <f t="shared" si="1"/>
        <v>done all</v>
      </c>
      <c r="K98" s="2" t="str">
        <f>VLOOKUP($D98,[1]Bai1_View!$E$2:$J$177,5,FALSE)</f>
        <v>Đồng Nai</v>
      </c>
      <c r="L98" s="2" t="str">
        <f>VLOOKUP($D98,[1]Bai1_View!$E$2:$J$177,6,FALSE)</f>
        <v>A. Tho</v>
      </c>
      <c r="M98" s="2">
        <f>IFERROR(VLOOKUP(D98,[2]Hồng!$D$1:$M$21,10,FALSE),0)</f>
        <v>0</v>
      </c>
    </row>
    <row r="99" spans="1:13" x14ac:dyDescent="0.25">
      <c r="A99" s="2">
        <v>97</v>
      </c>
      <c r="B99" s="2" t="s">
        <v>57</v>
      </c>
      <c r="C99" s="2" t="s">
        <v>426</v>
      </c>
      <c r="D99" s="2" t="s">
        <v>427</v>
      </c>
      <c r="E99" s="2" t="s">
        <v>428</v>
      </c>
      <c r="F99" s="2" t="str">
        <f>IFERROR(VLOOKUP(D99,[3]Bai1_VuotQua!$D$8:$I$143,6,FALSE),"NY")</f>
        <v>done</v>
      </c>
      <c r="G99" s="2" t="str">
        <f>IFERROR(VLOOKUP(D99,[3]Bai2_VuotQua!$D$8:$I$120,6,FALSE),"NY")</f>
        <v>done</v>
      </c>
      <c r="H99" s="2" t="str">
        <f>IFERROR(VLOOKUP(D99,[3]Bai3_VuotQua!$D$8:$I$122,6,FALSE),"NY")</f>
        <v>done</v>
      </c>
      <c r="I99" s="2" t="str">
        <f>IFERROR(VLOOKUP(D99,[3]Bai4_VuotQua!$D$8:$I$117,6,FALSE),"NY")</f>
        <v>done</v>
      </c>
      <c r="J99" s="2" t="str">
        <f t="shared" si="1"/>
        <v>done all</v>
      </c>
      <c r="K99" s="2" t="s">
        <v>27</v>
      </c>
      <c r="L99" s="2" t="s">
        <v>20</v>
      </c>
      <c r="M99" s="2">
        <f>IFERROR(VLOOKUP(D99,[2]Hồng!$D$1:$M$21,10,FALSE),0)</f>
        <v>0</v>
      </c>
    </row>
    <row r="100" spans="1:13" x14ac:dyDescent="0.25">
      <c r="A100" s="2">
        <v>98</v>
      </c>
      <c r="B100" s="2" t="s">
        <v>429</v>
      </c>
      <c r="C100" s="2" t="s">
        <v>430</v>
      </c>
      <c r="D100" s="2" t="s">
        <v>431</v>
      </c>
      <c r="E100" s="2" t="s">
        <v>432</v>
      </c>
      <c r="F100" s="2" t="str">
        <f>IFERROR(VLOOKUP(D100,[3]Bai1_VuotQua!$D$8:$I$143,6,FALSE),"NY")</f>
        <v>NY</v>
      </c>
      <c r="G100" s="2" t="str">
        <f>IFERROR(VLOOKUP(D100,[3]Bai2_VuotQua!$D$8:$I$120,6,FALSE),"NY")</f>
        <v>NY</v>
      </c>
      <c r="H100" s="2" t="str">
        <f>IFERROR(VLOOKUP(D100,[3]Bai3_VuotQua!$D$8:$I$122,6,FALSE),"NY")</f>
        <v>NY</v>
      </c>
      <c r="I100" s="2" t="str">
        <f>IFERROR(VLOOKUP(D100,[3]Bai4_VuotQua!$D$8:$I$117,6,FALSE),"NY")</f>
        <v>NY</v>
      </c>
      <c r="J100" s="2" t="str">
        <f t="shared" si="1"/>
        <v>NY</v>
      </c>
      <c r="K100" s="2" t="s">
        <v>27</v>
      </c>
      <c r="L100" s="2" t="s">
        <v>20</v>
      </c>
      <c r="M100" s="2">
        <f>IFERROR(VLOOKUP(D100,[2]Hồng!$D$1:$M$21,10,FALSE),0)</f>
        <v>0</v>
      </c>
    </row>
    <row r="101" spans="1:13" x14ac:dyDescent="0.25">
      <c r="A101" s="2">
        <v>99</v>
      </c>
      <c r="B101" s="2" t="s">
        <v>433</v>
      </c>
      <c r="C101" s="2" t="s">
        <v>434</v>
      </c>
      <c r="D101" s="2" t="s">
        <v>435</v>
      </c>
      <c r="E101" s="2" t="s">
        <v>436</v>
      </c>
      <c r="F101" s="2" t="str">
        <f>IFERROR(VLOOKUP(D101,[3]Bai1_VuotQua!$D$8:$I$143,6,FALSE),"NY")</f>
        <v>done</v>
      </c>
      <c r="G101" s="2" t="str">
        <f>IFERROR(VLOOKUP(D101,[3]Bai2_VuotQua!$D$8:$I$120,6,FALSE),"NY")</f>
        <v>done</v>
      </c>
      <c r="H101" s="2" t="str">
        <f>IFERROR(VLOOKUP(D101,[3]Bai3_VuotQua!$D$8:$I$122,6,FALSE),"NY")</f>
        <v>done</v>
      </c>
      <c r="I101" s="2" t="str">
        <f>IFERROR(VLOOKUP(D101,[3]Bai4_VuotQua!$D$8:$I$117,6,FALSE),"NY")</f>
        <v>done</v>
      </c>
      <c r="J101" s="2" t="str">
        <f t="shared" si="1"/>
        <v>done all</v>
      </c>
      <c r="K101" s="2" t="str">
        <f>VLOOKUP($D101,[1]Bai1_View!$E$2:$J$177,5,FALSE)</f>
        <v>HN</v>
      </c>
      <c r="L101" s="2" t="str">
        <f>VLOOKUP($D101,[1]Bai1_View!$E$2:$J$177,6,FALSE)</f>
        <v>C. Quy</v>
      </c>
      <c r="M101" s="2" t="str">
        <f>IFERROR(VLOOKUP(D101,[2]Hồng!$D$1:$M$21,10,FALSE),0)</f>
        <v>ok</v>
      </c>
    </row>
    <row r="102" spans="1:13" x14ac:dyDescent="0.25">
      <c r="A102" s="2">
        <v>100</v>
      </c>
      <c r="B102" s="2" t="s">
        <v>437</v>
      </c>
      <c r="C102" s="2" t="s">
        <v>438</v>
      </c>
      <c r="D102" s="2" t="s">
        <v>439</v>
      </c>
      <c r="E102" s="2" t="s">
        <v>440</v>
      </c>
      <c r="F102" s="2" t="str">
        <f>IFERROR(VLOOKUP(D102,[3]Bai1_VuotQua!$D$8:$I$143,6,FALSE),"NY")</f>
        <v>done</v>
      </c>
      <c r="G102" s="2" t="str">
        <f>IFERROR(VLOOKUP(D102,[3]Bai2_VuotQua!$D$8:$I$120,6,FALSE),"NY")</f>
        <v>done</v>
      </c>
      <c r="H102" s="2" t="str">
        <f>IFERROR(VLOOKUP(D102,[3]Bai3_VuotQua!$D$8:$I$122,6,FALSE),"NY")</f>
        <v>done</v>
      </c>
      <c r="I102" s="2" t="str">
        <f>IFERROR(VLOOKUP(D102,[3]Bai4_VuotQua!$D$8:$I$117,6,FALSE),"NY")</f>
        <v>done</v>
      </c>
      <c r="J102" s="2" t="str">
        <f t="shared" si="1"/>
        <v>done all</v>
      </c>
      <c r="K102" s="2" t="str">
        <f>VLOOKUP($D102,[1]Bai1_View!$E$2:$J$177,5,FALSE)</f>
        <v>Cần Thơ</v>
      </c>
      <c r="L102" s="2" t="str">
        <f>VLOOKUP($D102,[1]Bai1_View!$E$2:$J$177,6,FALSE)</f>
        <v>A. Tho</v>
      </c>
      <c r="M102" s="2">
        <f>IFERROR(VLOOKUP(D102,[2]Hồng!$D$1:$M$21,10,FALSE),0)</f>
        <v>0</v>
      </c>
    </row>
    <row r="103" spans="1:13" x14ac:dyDescent="0.25">
      <c r="A103" s="2">
        <v>101</v>
      </c>
      <c r="B103" s="2" t="s">
        <v>441</v>
      </c>
      <c r="C103" s="2" t="s">
        <v>442</v>
      </c>
      <c r="D103" s="2" t="s">
        <v>443</v>
      </c>
      <c r="E103" s="2" t="s">
        <v>444</v>
      </c>
      <c r="F103" s="2" t="str">
        <f>IFERROR(VLOOKUP(D103,[3]Bai1_VuotQua!$D$8:$I$143,6,FALSE),"NY")</f>
        <v>NY</v>
      </c>
      <c r="G103" s="2" t="str">
        <f>IFERROR(VLOOKUP(D103,[3]Bai2_VuotQua!$D$8:$I$120,6,FALSE),"NY")</f>
        <v>NY</v>
      </c>
      <c r="H103" s="2" t="str">
        <f>IFERROR(VLOOKUP(D103,[3]Bai3_VuotQua!$D$8:$I$122,6,FALSE),"NY")</f>
        <v>NY</v>
      </c>
      <c r="I103" s="2" t="str">
        <f>IFERROR(VLOOKUP(D103,[3]Bai4_VuotQua!$D$8:$I$117,6,FALSE),"NY")</f>
        <v>NY</v>
      </c>
      <c r="J103" s="2" t="str">
        <f t="shared" si="1"/>
        <v>NY</v>
      </c>
      <c r="K103" s="2" t="str">
        <f>VLOOKUP($D103,[1]Bai1_View!$E$2:$J$177,5,FALSE)</f>
        <v>Đăk Lăk</v>
      </c>
      <c r="L103" s="2" t="str">
        <f>VLOOKUP($D103,[1]Bai1_View!$E$2:$J$177,6,FALSE)</f>
        <v>A. Tho</v>
      </c>
      <c r="M103" s="2">
        <f>IFERROR(VLOOKUP(D103,[2]Hồng!$D$1:$M$21,10,FALSE),0)</f>
        <v>0</v>
      </c>
    </row>
    <row r="104" spans="1:13" x14ac:dyDescent="0.25">
      <c r="A104" s="2">
        <v>102</v>
      </c>
      <c r="B104" s="2" t="s">
        <v>445</v>
      </c>
      <c r="C104" s="2" t="s">
        <v>446</v>
      </c>
      <c r="D104" s="2" t="s">
        <v>447</v>
      </c>
      <c r="E104" s="2" t="s">
        <v>448</v>
      </c>
      <c r="F104" s="2" t="str">
        <f>IFERROR(VLOOKUP(D104,[3]Bai1_VuotQua!$D$8:$I$143,6,FALSE),"NY")</f>
        <v>done</v>
      </c>
      <c r="G104" s="2" t="str">
        <f>IFERROR(VLOOKUP(D104,[3]Bai2_VuotQua!$D$8:$I$120,6,FALSE),"NY")</f>
        <v>done</v>
      </c>
      <c r="H104" s="2" t="str">
        <f>IFERROR(VLOOKUP(D104,[3]Bai3_VuotQua!$D$8:$I$122,6,FALSE),"NY")</f>
        <v>done</v>
      </c>
      <c r="I104" s="2" t="str">
        <f>IFERROR(VLOOKUP(D104,[3]Bai4_VuotQua!$D$8:$I$117,6,FALSE),"NY")</f>
        <v>done</v>
      </c>
      <c r="J104" s="2" t="str">
        <f t="shared" si="1"/>
        <v>done all</v>
      </c>
      <c r="K104" s="2" t="str">
        <f>VLOOKUP($D104,[1]Bai1_View!$E$2:$J$177,5,FALSE)</f>
        <v>Cần Thơ</v>
      </c>
      <c r="L104" s="2" t="str">
        <f>VLOOKUP($D104,[1]Bai1_View!$E$2:$J$177,6,FALSE)</f>
        <v>A. Tho</v>
      </c>
      <c r="M104" s="2">
        <f>IFERROR(VLOOKUP(D104,[2]Hồng!$D$1:$M$21,10,FALSE),0)</f>
        <v>0</v>
      </c>
    </row>
    <row r="105" spans="1:13" x14ac:dyDescent="0.25">
      <c r="A105" s="2">
        <v>103</v>
      </c>
      <c r="B105" s="2" t="s">
        <v>449</v>
      </c>
      <c r="C105" s="2" t="s">
        <v>450</v>
      </c>
      <c r="D105" s="2" t="s">
        <v>451</v>
      </c>
      <c r="E105" s="2" t="s">
        <v>452</v>
      </c>
      <c r="F105" s="2" t="str">
        <f>IFERROR(VLOOKUP(D105,[3]Bai1_VuotQua!$D$8:$I$143,6,FALSE),"NY")</f>
        <v>NY</v>
      </c>
      <c r="G105" s="2" t="str">
        <f>IFERROR(VLOOKUP(D105,[3]Bai2_VuotQua!$D$8:$I$120,6,FALSE),"NY")</f>
        <v>NY</v>
      </c>
      <c r="H105" s="2" t="str">
        <f>IFERROR(VLOOKUP(D105,[3]Bai3_VuotQua!$D$8:$I$122,6,FALSE),"NY")</f>
        <v>NY</v>
      </c>
      <c r="I105" s="2" t="str">
        <f>IFERROR(VLOOKUP(D105,[3]Bai4_VuotQua!$D$8:$I$117,6,FALSE),"NY")</f>
        <v>NY</v>
      </c>
      <c r="J105" s="2" t="str">
        <f t="shared" si="1"/>
        <v>NY</v>
      </c>
      <c r="K105" s="2" t="str">
        <f>VLOOKUP($D105,[1]Bai1_View!$E$2:$J$177,5,FALSE)</f>
        <v>Phú Thọ</v>
      </c>
      <c r="L105" s="2" t="str">
        <f>VLOOKUP($D105,[1]Bai1_View!$E$2:$J$177,6,FALSE)</f>
        <v>A. Tuan</v>
      </c>
      <c r="M105" s="2">
        <f>IFERROR(VLOOKUP(D105,[2]Hồng!$D$1:$M$21,10,FALSE),0)</f>
        <v>0</v>
      </c>
    </row>
    <row r="106" spans="1:13" x14ac:dyDescent="0.25">
      <c r="A106" s="2">
        <v>104</v>
      </c>
      <c r="B106" s="2" t="s">
        <v>453</v>
      </c>
      <c r="C106" s="2" t="s">
        <v>454</v>
      </c>
      <c r="D106" s="2" t="s">
        <v>455</v>
      </c>
      <c r="E106" s="2" t="s">
        <v>456</v>
      </c>
      <c r="F106" s="2" t="str">
        <f>IFERROR(VLOOKUP(D106,[3]Bai1_VuotQua!$D$8:$I$143,6,FALSE),"NY")</f>
        <v>done</v>
      </c>
      <c r="G106" s="2" t="str">
        <f>IFERROR(VLOOKUP(D106,[3]Bai2_VuotQua!$D$8:$I$120,6,FALSE),"NY")</f>
        <v>done</v>
      </c>
      <c r="H106" s="2" t="str">
        <f>IFERROR(VLOOKUP(D106,[3]Bai3_VuotQua!$D$8:$I$122,6,FALSE),"NY")</f>
        <v>NY</v>
      </c>
      <c r="I106" s="2" t="str">
        <f>IFERROR(VLOOKUP(D106,[3]Bai4_VuotQua!$D$8:$I$117,6,FALSE),"NY")</f>
        <v>NY</v>
      </c>
      <c r="J106" s="2" t="str">
        <f t="shared" si="1"/>
        <v>done 2 lession</v>
      </c>
      <c r="K106" s="2" t="str">
        <f>VLOOKUP($D106,[1]Bai1_View!$E$2:$J$177,5,FALSE)</f>
        <v>HCM</v>
      </c>
      <c r="L106" s="2" t="str">
        <f>VLOOKUP($D106,[1]Bai1_View!$E$2:$J$177,6,FALSE)</f>
        <v>A. Tri</v>
      </c>
      <c r="M106" s="2">
        <f>IFERROR(VLOOKUP(D106,[2]Hồng!$D$1:$M$21,10,FALSE),0)</f>
        <v>0</v>
      </c>
    </row>
    <row r="107" spans="1:13" x14ac:dyDescent="0.25">
      <c r="A107" s="2">
        <v>105</v>
      </c>
      <c r="B107" s="2" t="s">
        <v>457</v>
      </c>
      <c r="C107" s="2" t="s">
        <v>458</v>
      </c>
      <c r="D107" s="2" t="s">
        <v>459</v>
      </c>
      <c r="E107" s="2" t="s">
        <v>460</v>
      </c>
      <c r="F107" s="2" t="str">
        <f>IFERROR(VLOOKUP(D107,[3]Bai1_VuotQua!$D$8:$I$143,6,FALSE),"NY")</f>
        <v>NY</v>
      </c>
      <c r="G107" s="2" t="str">
        <f>IFERROR(VLOOKUP(D107,[3]Bai2_VuotQua!$D$8:$I$120,6,FALSE),"NY")</f>
        <v>NY</v>
      </c>
      <c r="H107" s="2" t="str">
        <f>IFERROR(VLOOKUP(D107,[3]Bai3_VuotQua!$D$8:$I$122,6,FALSE),"NY")</f>
        <v>NY</v>
      </c>
      <c r="I107" s="2" t="str">
        <f>IFERROR(VLOOKUP(D107,[3]Bai4_VuotQua!$D$8:$I$117,6,FALSE),"NY")</f>
        <v>NY</v>
      </c>
      <c r="J107" s="2" t="str">
        <f t="shared" si="1"/>
        <v>NY</v>
      </c>
      <c r="K107" s="2" t="str">
        <f>VLOOKUP($D107,[1]Bai1_View!$E$2:$J$177,5,FALSE)</f>
        <v>Đăk Lăk</v>
      </c>
      <c r="L107" s="2" t="str">
        <f>VLOOKUP($D107,[1]Bai1_View!$E$2:$J$177,6,FALSE)</f>
        <v>A. Tho</v>
      </c>
      <c r="M107" s="2">
        <f>IFERROR(VLOOKUP(D107,[2]Hồng!$D$1:$M$21,10,FALSE),0)</f>
        <v>0</v>
      </c>
    </row>
    <row r="108" spans="1:13" x14ac:dyDescent="0.25">
      <c r="A108" s="2">
        <v>106</v>
      </c>
      <c r="B108" s="2" t="s">
        <v>461</v>
      </c>
      <c r="C108" s="2" t="s">
        <v>462</v>
      </c>
      <c r="D108" s="2" t="s">
        <v>463</v>
      </c>
      <c r="E108" s="2" t="s">
        <v>464</v>
      </c>
      <c r="F108" s="2" t="str">
        <f>IFERROR(VLOOKUP(D108,[3]Bai1_VuotQua!$D$8:$I$143,6,FALSE),"NY")</f>
        <v>done</v>
      </c>
      <c r="G108" s="2" t="str">
        <f>IFERROR(VLOOKUP(D108,[3]Bai2_VuotQua!$D$8:$I$120,6,FALSE),"NY")</f>
        <v>done</v>
      </c>
      <c r="H108" s="2" t="str">
        <f>IFERROR(VLOOKUP(D108,[3]Bai3_VuotQua!$D$8:$I$122,6,FALSE),"NY")</f>
        <v>done</v>
      </c>
      <c r="I108" s="2" t="str">
        <f>IFERROR(VLOOKUP(D108,[3]Bai4_VuotQua!$D$8:$I$117,6,FALSE),"NY")</f>
        <v>done</v>
      </c>
      <c r="J108" s="2" t="str">
        <f t="shared" si="1"/>
        <v>done all</v>
      </c>
      <c r="K108" s="2" t="str">
        <f>VLOOKUP($D108,[1]Bai1_View!$E$2:$J$177,5,FALSE)</f>
        <v>Đồng Nai</v>
      </c>
      <c r="L108" s="2" t="str">
        <f>VLOOKUP($D108,[1]Bai1_View!$E$2:$J$177,6,FALSE)</f>
        <v>A. Tho</v>
      </c>
      <c r="M108" s="2">
        <f>IFERROR(VLOOKUP(D108,[2]Hồng!$D$1:$M$21,10,FALSE),0)</f>
        <v>0</v>
      </c>
    </row>
    <row r="109" spans="1:13" x14ac:dyDescent="0.25">
      <c r="A109" s="2">
        <v>107</v>
      </c>
      <c r="B109" s="2" t="s">
        <v>465</v>
      </c>
      <c r="C109" s="2" t="s">
        <v>466</v>
      </c>
      <c r="D109" s="2" t="s">
        <v>467</v>
      </c>
      <c r="E109" s="2" t="s">
        <v>468</v>
      </c>
      <c r="F109" s="2" t="str">
        <f>IFERROR(VLOOKUP(D109,[3]Bai1_VuotQua!$D$8:$I$143,6,FALSE),"NY")</f>
        <v>NY</v>
      </c>
      <c r="G109" s="2" t="str">
        <f>IFERROR(VLOOKUP(D109,[3]Bai2_VuotQua!$D$8:$I$120,6,FALSE),"NY")</f>
        <v>NY</v>
      </c>
      <c r="H109" s="2" t="str">
        <f>IFERROR(VLOOKUP(D109,[3]Bai3_VuotQua!$D$8:$I$122,6,FALSE),"NY")</f>
        <v>NY</v>
      </c>
      <c r="I109" s="2" t="str">
        <f>IFERROR(VLOOKUP(D109,[3]Bai4_VuotQua!$D$8:$I$117,6,FALSE),"NY")</f>
        <v>NY</v>
      </c>
      <c r="J109" s="2" t="str">
        <f t="shared" si="1"/>
        <v>NY</v>
      </c>
      <c r="K109" s="2" t="str">
        <f>VLOOKUP($D109,[1]Bai1_View!$E$2:$J$177,5,FALSE)</f>
        <v>HCM</v>
      </c>
      <c r="L109" s="2" t="str">
        <f>VLOOKUP($D109,[1]Bai1_View!$E$2:$J$177,6,FALSE)</f>
        <v>A. Tri</v>
      </c>
      <c r="M109" s="2">
        <f>IFERROR(VLOOKUP(D109,[2]Hồng!$D$1:$M$21,10,FALSE),0)</f>
        <v>0</v>
      </c>
    </row>
    <row r="110" spans="1:13" x14ac:dyDescent="0.25">
      <c r="A110" s="2">
        <v>108</v>
      </c>
      <c r="B110" s="2" t="s">
        <v>469</v>
      </c>
      <c r="C110" s="2" t="s">
        <v>470</v>
      </c>
      <c r="D110" s="2" t="s">
        <v>471</v>
      </c>
      <c r="E110" s="2" t="s">
        <v>472</v>
      </c>
      <c r="F110" s="2" t="str">
        <f>IFERROR(VLOOKUP(D110,[3]Bai1_VuotQua!$D$8:$I$143,6,FALSE),"NY")</f>
        <v>done</v>
      </c>
      <c r="G110" s="2" t="str">
        <f>IFERROR(VLOOKUP(D110,[3]Bai2_VuotQua!$D$8:$I$120,6,FALSE),"NY")</f>
        <v>done</v>
      </c>
      <c r="H110" s="2" t="str">
        <f>IFERROR(VLOOKUP(D110,[3]Bai3_VuotQua!$D$8:$I$122,6,FALSE),"NY")</f>
        <v>done</v>
      </c>
      <c r="I110" s="2" t="str">
        <f>IFERROR(VLOOKUP(D110,[3]Bai4_VuotQua!$D$8:$I$117,6,FALSE),"NY")</f>
        <v>done</v>
      </c>
      <c r="J110" s="2" t="str">
        <f t="shared" si="1"/>
        <v>done all</v>
      </c>
      <c r="K110" s="2" t="str">
        <f>VLOOKUP($D110,[1]Bai1_View!$E$2:$J$177,5,FALSE)</f>
        <v>Cần Thơ</v>
      </c>
      <c r="L110" s="2" t="str">
        <f>VLOOKUP($D110,[1]Bai1_View!$E$2:$J$177,6,FALSE)</f>
        <v>A. Tho</v>
      </c>
      <c r="M110" s="2">
        <f>IFERROR(VLOOKUP(D110,[2]Hồng!$D$1:$M$21,10,FALSE),0)</f>
        <v>0</v>
      </c>
    </row>
    <row r="111" spans="1:13" x14ac:dyDescent="0.25">
      <c r="A111" s="2">
        <v>109</v>
      </c>
      <c r="B111" s="2" t="s">
        <v>473</v>
      </c>
      <c r="C111" s="2" t="s">
        <v>474</v>
      </c>
      <c r="D111" s="2" t="s">
        <v>475</v>
      </c>
      <c r="E111" s="2" t="s">
        <v>476</v>
      </c>
      <c r="F111" s="2" t="str">
        <f>IFERROR(VLOOKUP(D111,[3]Bai1_VuotQua!$D$8:$I$143,6,FALSE),"NY")</f>
        <v>NY</v>
      </c>
      <c r="G111" s="2" t="str">
        <f>IFERROR(VLOOKUP(D111,[3]Bai2_VuotQua!$D$8:$I$120,6,FALSE),"NY")</f>
        <v>NY</v>
      </c>
      <c r="H111" s="2" t="str">
        <f>IFERROR(VLOOKUP(D111,[3]Bai3_VuotQua!$D$8:$I$122,6,FALSE),"NY")</f>
        <v>NY</v>
      </c>
      <c r="I111" s="2" t="str">
        <f>IFERROR(VLOOKUP(D111,[3]Bai4_VuotQua!$D$8:$I$117,6,FALSE),"NY")</f>
        <v>NY</v>
      </c>
      <c r="J111" s="2" t="str">
        <f t="shared" si="1"/>
        <v>NY</v>
      </c>
      <c r="K111" s="2" t="str">
        <f>VLOOKUP($D111,[1]Bai1_View!$E$2:$J$177,5,FALSE)</f>
        <v>HN</v>
      </c>
      <c r="L111" s="2" t="str">
        <f>VLOOKUP($D111,[1]Bai1_View!$E$2:$J$177,6,FALSE)</f>
        <v>C. Quy</v>
      </c>
      <c r="M111" s="2">
        <f>IFERROR(VLOOKUP(D111,[2]Hồng!$D$1:$M$21,10,FALSE),0)</f>
        <v>0</v>
      </c>
    </row>
    <row r="112" spans="1:13" x14ac:dyDescent="0.25">
      <c r="A112" s="2">
        <v>110</v>
      </c>
      <c r="B112" s="2" t="s">
        <v>477</v>
      </c>
      <c r="C112" s="2" t="s">
        <v>478</v>
      </c>
      <c r="D112" s="2" t="s">
        <v>479</v>
      </c>
      <c r="E112" s="2" t="s">
        <v>480</v>
      </c>
      <c r="F112" s="2" t="str">
        <f>IFERROR(VLOOKUP(D112,[3]Bai1_VuotQua!$D$8:$I$143,6,FALSE),"NY")</f>
        <v>done</v>
      </c>
      <c r="G112" s="2" t="str">
        <f>IFERROR(VLOOKUP(D112,[3]Bai2_VuotQua!$D$8:$I$120,6,FALSE),"NY")</f>
        <v>done</v>
      </c>
      <c r="H112" s="2" t="str">
        <f>IFERROR(VLOOKUP(D112,[3]Bai3_VuotQua!$D$8:$I$122,6,FALSE),"NY")</f>
        <v>done</v>
      </c>
      <c r="I112" s="2" t="str">
        <f>IFERROR(VLOOKUP(D112,[3]Bai4_VuotQua!$D$8:$I$117,6,FALSE),"NY")</f>
        <v>done</v>
      </c>
      <c r="J112" s="2" t="str">
        <f t="shared" si="1"/>
        <v>done all</v>
      </c>
      <c r="K112" s="2" t="str">
        <f>VLOOKUP($D112,[1]Bai1_View!$E$2:$J$177,5,FALSE)</f>
        <v>Cần Thơ</v>
      </c>
      <c r="L112" s="2" t="str">
        <f>VLOOKUP($D112,[1]Bai1_View!$E$2:$J$177,6,FALSE)</f>
        <v>A. Tho</v>
      </c>
      <c r="M112" s="2">
        <f>IFERROR(VLOOKUP(D112,[2]Hồng!$D$1:$M$21,10,FALSE),0)</f>
        <v>0</v>
      </c>
    </row>
    <row r="113" spans="1:13" x14ac:dyDescent="0.25">
      <c r="A113" s="2">
        <v>111</v>
      </c>
      <c r="B113" s="2" t="s">
        <v>481</v>
      </c>
      <c r="C113" s="2" t="s">
        <v>482</v>
      </c>
      <c r="D113" s="2" t="s">
        <v>483</v>
      </c>
      <c r="E113" s="2" t="s">
        <v>484</v>
      </c>
      <c r="F113" s="2" t="str">
        <f>IFERROR(VLOOKUP(D113,[3]Bai1_VuotQua!$D$8:$I$143,6,FALSE),"NY")</f>
        <v>NY</v>
      </c>
      <c r="G113" s="2" t="str">
        <f>IFERROR(VLOOKUP(D113,[3]Bai2_VuotQua!$D$8:$I$120,6,FALSE),"NY")</f>
        <v>NY</v>
      </c>
      <c r="H113" s="2" t="str">
        <f>IFERROR(VLOOKUP(D113,[3]Bai3_VuotQua!$D$8:$I$122,6,FALSE),"NY")</f>
        <v>NY</v>
      </c>
      <c r="I113" s="2" t="str">
        <f>IFERROR(VLOOKUP(D113,[3]Bai4_VuotQua!$D$8:$I$117,6,FALSE),"NY")</f>
        <v>NY</v>
      </c>
      <c r="J113" s="2" t="str">
        <f t="shared" si="1"/>
        <v>NY</v>
      </c>
      <c r="K113" s="2" t="s">
        <v>27</v>
      </c>
      <c r="L113" s="2" t="s">
        <v>20</v>
      </c>
      <c r="M113" s="2">
        <f>IFERROR(VLOOKUP(D113,[2]Hồng!$D$1:$M$21,10,FALSE),0)</f>
        <v>0</v>
      </c>
    </row>
    <row r="114" spans="1:13" x14ac:dyDescent="0.25">
      <c r="A114" s="2">
        <v>112</v>
      </c>
      <c r="B114" s="2" t="s">
        <v>485</v>
      </c>
      <c r="C114" s="2" t="s">
        <v>486</v>
      </c>
      <c r="D114" s="2" t="s">
        <v>487</v>
      </c>
      <c r="E114" s="2" t="s">
        <v>488</v>
      </c>
      <c r="F114" s="2" t="str">
        <f>IFERROR(VLOOKUP(D114,[3]Bai1_VuotQua!$D$8:$I$143,6,FALSE),"NY")</f>
        <v>done</v>
      </c>
      <c r="G114" s="2" t="str">
        <f>IFERROR(VLOOKUP(D114,[3]Bai2_VuotQua!$D$8:$I$120,6,FALSE),"NY")</f>
        <v>NY</v>
      </c>
      <c r="H114" s="2" t="str">
        <f>IFERROR(VLOOKUP(D114,[3]Bai3_VuotQua!$D$8:$I$122,6,FALSE),"NY")</f>
        <v>NY</v>
      </c>
      <c r="I114" s="2" t="str">
        <f>IFERROR(VLOOKUP(D114,[3]Bai4_VuotQua!$D$8:$I$117,6,FALSE),"NY")</f>
        <v>NY</v>
      </c>
      <c r="J114" s="2" t="str">
        <f t="shared" si="1"/>
        <v>done 1 lession</v>
      </c>
      <c r="K114" s="2" t="str">
        <f>VLOOKUP($D114,[1]Bai1_View!$E$2:$J$177,5,FALSE)</f>
        <v>Khánh Hòa</v>
      </c>
      <c r="L114" s="2" t="str">
        <f>VLOOKUP($D114,[1]Bai1_View!$E$2:$J$177,6,FALSE)</f>
        <v>A. Tho</v>
      </c>
      <c r="M114" s="2">
        <f>IFERROR(VLOOKUP(D114,[2]Hồng!$D$1:$M$21,10,FALSE),0)</f>
        <v>0</v>
      </c>
    </row>
    <row r="115" spans="1:13" x14ac:dyDescent="0.25">
      <c r="A115" s="2">
        <v>113</v>
      </c>
      <c r="B115" s="2" t="s">
        <v>489</v>
      </c>
      <c r="C115" s="2" t="s">
        <v>490</v>
      </c>
      <c r="D115" s="2" t="s">
        <v>491</v>
      </c>
      <c r="E115" s="2" t="s">
        <v>492</v>
      </c>
      <c r="F115" s="2" t="str">
        <f>IFERROR(VLOOKUP(D115,[3]Bai1_VuotQua!$D$8:$I$143,6,FALSE),"NY")</f>
        <v>done</v>
      </c>
      <c r="G115" s="2" t="str">
        <f>IFERROR(VLOOKUP(D115,[3]Bai2_VuotQua!$D$8:$I$120,6,FALSE),"NY")</f>
        <v>done</v>
      </c>
      <c r="H115" s="2" t="str">
        <f>IFERROR(VLOOKUP(D115,[3]Bai3_VuotQua!$D$8:$I$122,6,FALSE),"NY")</f>
        <v>done</v>
      </c>
      <c r="I115" s="2" t="str">
        <f>IFERROR(VLOOKUP(D115,[3]Bai4_VuotQua!$D$8:$I$117,6,FALSE),"NY")</f>
        <v>done</v>
      </c>
      <c r="J115" s="2" t="str">
        <f t="shared" si="1"/>
        <v>done all</v>
      </c>
      <c r="K115" s="2" t="str">
        <f>VLOOKUP($D115,[1]Bai1_View!$E$2:$J$177,5,FALSE)</f>
        <v>HN</v>
      </c>
      <c r="L115" s="2" t="str">
        <f>VLOOKUP($D115,[1]Bai1_View!$E$2:$J$177,6,FALSE)</f>
        <v>C. Quy</v>
      </c>
      <c r="M115" s="2">
        <f>IFERROR(VLOOKUP(D115,[2]Hồng!$D$1:$M$21,10,FALSE),0)</f>
        <v>0</v>
      </c>
    </row>
    <row r="116" spans="1:13" x14ac:dyDescent="0.25">
      <c r="A116" s="2">
        <v>114</v>
      </c>
      <c r="B116" s="2" t="s">
        <v>493</v>
      </c>
      <c r="C116" s="2" t="s">
        <v>494</v>
      </c>
      <c r="D116" s="2" t="s">
        <v>495</v>
      </c>
      <c r="E116" s="2" t="s">
        <v>496</v>
      </c>
      <c r="F116" s="2" t="str">
        <f>IFERROR(VLOOKUP(D116,[3]Bai1_VuotQua!$D$8:$I$143,6,FALSE),"NY")</f>
        <v>NY</v>
      </c>
      <c r="G116" s="2" t="str">
        <f>IFERROR(VLOOKUP(D116,[3]Bai2_VuotQua!$D$8:$I$120,6,FALSE),"NY")</f>
        <v>NY</v>
      </c>
      <c r="H116" s="2" t="str">
        <f>IFERROR(VLOOKUP(D116,[3]Bai3_VuotQua!$D$8:$I$122,6,FALSE),"NY")</f>
        <v>NY</v>
      </c>
      <c r="I116" s="2" t="str">
        <f>IFERROR(VLOOKUP(D116,[3]Bai4_VuotQua!$D$8:$I$117,6,FALSE),"NY")</f>
        <v>NY</v>
      </c>
      <c r="J116" s="2" t="str">
        <f t="shared" si="1"/>
        <v>NY</v>
      </c>
      <c r="K116" s="2" t="s">
        <v>27</v>
      </c>
      <c r="L116" s="2" t="s">
        <v>20</v>
      </c>
      <c r="M116" s="2">
        <f>IFERROR(VLOOKUP(D116,[2]Hồng!$D$1:$M$21,10,FALSE),0)</f>
        <v>0</v>
      </c>
    </row>
    <row r="117" spans="1:13" x14ac:dyDescent="0.25">
      <c r="A117" s="2">
        <v>115</v>
      </c>
      <c r="B117" s="2" t="s">
        <v>497</v>
      </c>
      <c r="C117" s="2" t="s">
        <v>498</v>
      </c>
      <c r="D117" s="2" t="s">
        <v>499</v>
      </c>
      <c r="E117" s="2" t="s">
        <v>500</v>
      </c>
      <c r="F117" s="2" t="str">
        <f>IFERROR(VLOOKUP(D117,[3]Bai1_VuotQua!$D$8:$I$143,6,FALSE),"NY")</f>
        <v>done</v>
      </c>
      <c r="G117" s="2" t="str">
        <f>IFERROR(VLOOKUP(D117,[3]Bai2_VuotQua!$D$8:$I$120,6,FALSE),"NY")</f>
        <v>NY</v>
      </c>
      <c r="H117" s="2" t="str">
        <f>IFERROR(VLOOKUP(D117,[3]Bai3_VuotQua!$D$8:$I$122,6,FALSE),"NY")</f>
        <v>NY</v>
      </c>
      <c r="I117" s="2" t="str">
        <f>IFERROR(VLOOKUP(D117,[3]Bai4_VuotQua!$D$8:$I$117,6,FALSE),"NY")</f>
        <v>NY</v>
      </c>
      <c r="J117" s="2" t="str">
        <f t="shared" si="1"/>
        <v>done 1 lession</v>
      </c>
      <c r="K117" s="2" t="s">
        <v>27</v>
      </c>
      <c r="L117" s="2" t="s">
        <v>20</v>
      </c>
      <c r="M117" s="2">
        <f>IFERROR(VLOOKUP(D117,[2]Hồng!$D$1:$M$21,10,FALSE),0)</f>
        <v>0</v>
      </c>
    </row>
    <row r="118" spans="1:13" x14ac:dyDescent="0.25">
      <c r="A118" s="2">
        <v>116</v>
      </c>
      <c r="B118" s="2" t="s">
        <v>501</v>
      </c>
      <c r="C118" s="2" t="s">
        <v>502</v>
      </c>
      <c r="D118" s="2" t="s">
        <v>503</v>
      </c>
      <c r="E118" s="2" t="s">
        <v>504</v>
      </c>
      <c r="F118" s="2" t="str">
        <f>IFERROR(VLOOKUP(D118,[3]Bai1_VuotQua!$D$8:$I$143,6,FALSE),"NY")</f>
        <v>NY</v>
      </c>
      <c r="G118" s="2" t="str">
        <f>IFERROR(VLOOKUP(D118,[3]Bai2_VuotQua!$D$8:$I$120,6,FALSE),"NY")</f>
        <v>NY</v>
      </c>
      <c r="H118" s="2" t="str">
        <f>IFERROR(VLOOKUP(D118,[3]Bai3_VuotQua!$D$8:$I$122,6,FALSE),"NY")</f>
        <v>NY</v>
      </c>
      <c r="I118" s="2" t="str">
        <f>IFERROR(VLOOKUP(D118,[3]Bai4_VuotQua!$D$8:$I$117,6,FALSE),"NY")</f>
        <v>NY</v>
      </c>
      <c r="J118" s="2" t="str">
        <f t="shared" si="1"/>
        <v>NY</v>
      </c>
      <c r="K118" s="2" t="s">
        <v>56</v>
      </c>
      <c r="L118" s="2" t="s">
        <v>17</v>
      </c>
      <c r="M118" s="2">
        <f>IFERROR(VLOOKUP(D118,[2]Hồng!$D$1:$M$21,10,FALSE),0)</f>
        <v>0</v>
      </c>
    </row>
    <row r="119" spans="1:13" x14ac:dyDescent="0.25">
      <c r="A119" s="2">
        <v>117</v>
      </c>
      <c r="B119" s="2" t="s">
        <v>505</v>
      </c>
      <c r="C119" s="2" t="s">
        <v>506</v>
      </c>
      <c r="D119" s="2" t="s">
        <v>507</v>
      </c>
      <c r="E119" s="2" t="s">
        <v>508</v>
      </c>
      <c r="F119" s="2" t="str">
        <f>IFERROR(VLOOKUP(D119,[3]Bai1_VuotQua!$D$8:$I$143,6,FALSE),"NY")</f>
        <v>done</v>
      </c>
      <c r="G119" s="2" t="str">
        <f>IFERROR(VLOOKUP(D119,[3]Bai2_VuotQua!$D$8:$I$120,6,FALSE),"NY")</f>
        <v>done</v>
      </c>
      <c r="H119" s="2" t="str">
        <f>IFERROR(VLOOKUP(D119,[3]Bai3_VuotQua!$D$8:$I$122,6,FALSE),"NY")</f>
        <v>done</v>
      </c>
      <c r="I119" s="2" t="str">
        <f>IFERROR(VLOOKUP(D119,[3]Bai4_VuotQua!$D$8:$I$117,6,FALSE),"NY")</f>
        <v>done</v>
      </c>
      <c r="J119" s="2" t="str">
        <f t="shared" si="1"/>
        <v>done all</v>
      </c>
      <c r="K119" s="2" t="str">
        <f>VLOOKUP($D119,[1]Bai1_View!$E$2:$J$177,5,FALSE)</f>
        <v>HN</v>
      </c>
      <c r="L119" s="2" t="str">
        <f>VLOOKUP($D119,[1]Bai1_View!$E$2:$J$177,6,FALSE)</f>
        <v>C. Quy</v>
      </c>
      <c r="M119" s="2" t="str">
        <f>IFERROR(VLOOKUP(D119,[2]Hồng!$D$1:$M$21,10,FALSE),0)</f>
        <v>ok</v>
      </c>
    </row>
    <row r="120" spans="1:13" x14ac:dyDescent="0.25">
      <c r="A120" s="2">
        <v>118</v>
      </c>
      <c r="B120" s="2" t="s">
        <v>509</v>
      </c>
      <c r="C120" s="2" t="s">
        <v>510</v>
      </c>
      <c r="D120" s="2" t="s">
        <v>511</v>
      </c>
      <c r="E120" s="2" t="s">
        <v>512</v>
      </c>
      <c r="F120" s="2" t="str">
        <f>IFERROR(VLOOKUP(D120,[3]Bai1_VuotQua!$D$8:$I$143,6,FALSE),"NY")</f>
        <v>NY</v>
      </c>
      <c r="G120" s="2" t="str">
        <f>IFERROR(VLOOKUP(D120,[3]Bai2_VuotQua!$D$8:$I$120,6,FALSE),"NY")</f>
        <v>NY</v>
      </c>
      <c r="H120" s="2" t="str">
        <f>IFERROR(VLOOKUP(D120,[3]Bai3_VuotQua!$D$8:$I$122,6,FALSE),"NY")</f>
        <v>NY</v>
      </c>
      <c r="I120" s="2" t="str">
        <f>IFERROR(VLOOKUP(D120,[3]Bai4_VuotQua!$D$8:$I$117,6,FALSE),"NY")</f>
        <v>NY</v>
      </c>
      <c r="J120" s="2" t="str">
        <f t="shared" si="1"/>
        <v>NY</v>
      </c>
      <c r="K120" s="2" t="str">
        <f>VLOOKUP($D120,[1]Bai1_View!$E$2:$J$177,5,FALSE)</f>
        <v>Khánh Hòa</v>
      </c>
      <c r="L120" s="2" t="str">
        <f>VLOOKUP($D120,[1]Bai1_View!$E$2:$J$177,6,FALSE)</f>
        <v>A. Tho</v>
      </c>
      <c r="M120" s="2">
        <f>IFERROR(VLOOKUP(D120,[2]Hồng!$D$1:$M$21,10,FALSE),0)</f>
        <v>0</v>
      </c>
    </row>
    <row r="121" spans="1:13" x14ac:dyDescent="0.25">
      <c r="A121" s="2">
        <v>119</v>
      </c>
      <c r="B121" s="2" t="s">
        <v>513</v>
      </c>
      <c r="C121" s="2" t="s">
        <v>514</v>
      </c>
      <c r="D121" s="2" t="s">
        <v>515</v>
      </c>
      <c r="E121" s="2" t="s">
        <v>516</v>
      </c>
      <c r="F121" s="2" t="str">
        <f>IFERROR(VLOOKUP(D121,[3]Bai1_VuotQua!$D$8:$I$143,6,FALSE),"NY")</f>
        <v>done</v>
      </c>
      <c r="G121" s="2" t="str">
        <f>IFERROR(VLOOKUP(D121,[3]Bai2_VuotQua!$D$8:$I$120,6,FALSE),"NY")</f>
        <v>done</v>
      </c>
      <c r="H121" s="2" t="str">
        <f>IFERROR(VLOOKUP(D121,[3]Bai3_VuotQua!$D$8:$I$122,6,FALSE),"NY")</f>
        <v>done</v>
      </c>
      <c r="I121" s="2" t="str">
        <f>IFERROR(VLOOKUP(D121,[3]Bai4_VuotQua!$D$8:$I$117,6,FALSE),"NY")</f>
        <v>done</v>
      </c>
      <c r="J121" s="2" t="str">
        <f t="shared" si="1"/>
        <v>done all</v>
      </c>
      <c r="K121" s="2" t="s">
        <v>27</v>
      </c>
      <c r="L121" s="2" t="s">
        <v>20</v>
      </c>
      <c r="M121" s="2">
        <f>IFERROR(VLOOKUP(D121,[2]Hồng!$D$1:$M$21,10,FALSE),0)</f>
        <v>0</v>
      </c>
    </row>
    <row r="122" spans="1:13" x14ac:dyDescent="0.25">
      <c r="A122" s="2">
        <v>120</v>
      </c>
      <c r="B122" s="2" t="s">
        <v>517</v>
      </c>
      <c r="C122" s="2" t="s">
        <v>518</v>
      </c>
      <c r="D122" s="2" t="s">
        <v>519</v>
      </c>
      <c r="E122" s="2" t="s">
        <v>520</v>
      </c>
      <c r="F122" s="2" t="str">
        <f>IFERROR(VLOOKUP(D122,[3]Bai1_VuotQua!$D$8:$I$143,6,FALSE),"NY")</f>
        <v>NY</v>
      </c>
      <c r="G122" s="2" t="str">
        <f>IFERROR(VLOOKUP(D122,[3]Bai2_VuotQua!$D$8:$I$120,6,FALSE),"NY")</f>
        <v>NY</v>
      </c>
      <c r="H122" s="2" t="str">
        <f>IFERROR(VLOOKUP(D122,[3]Bai3_VuotQua!$D$8:$I$122,6,FALSE),"NY")</f>
        <v>NY</v>
      </c>
      <c r="I122" s="2" t="str">
        <f>IFERROR(VLOOKUP(D122,[3]Bai4_VuotQua!$D$8:$I$117,6,FALSE),"NY")</f>
        <v>NY</v>
      </c>
      <c r="J122" s="2" t="str">
        <f t="shared" si="1"/>
        <v>NY</v>
      </c>
      <c r="K122" s="2" t="str">
        <f>VLOOKUP($D122,[1]Bai1_View!$E$2:$J$177,5,FALSE)</f>
        <v>HN</v>
      </c>
      <c r="L122" s="2" t="str">
        <f>VLOOKUP($D122,[1]Bai1_View!$E$2:$J$177,6,FALSE)</f>
        <v>C. Quy</v>
      </c>
      <c r="M122" s="2">
        <f>IFERROR(VLOOKUP(D122,[2]Hồng!$D$1:$M$21,10,FALSE),0)</f>
        <v>0</v>
      </c>
    </row>
    <row r="123" spans="1:13" x14ac:dyDescent="0.25">
      <c r="A123" s="2">
        <v>121</v>
      </c>
      <c r="B123" s="2" t="s">
        <v>521</v>
      </c>
      <c r="C123" s="2" t="s">
        <v>522</v>
      </c>
      <c r="D123" s="2" t="s">
        <v>523</v>
      </c>
      <c r="E123" s="2" t="s">
        <v>524</v>
      </c>
      <c r="F123" s="2" t="str">
        <f>IFERROR(VLOOKUP(D123,[3]Bai1_VuotQua!$D$8:$I$143,6,FALSE),"NY")</f>
        <v>NY</v>
      </c>
      <c r="G123" s="2" t="str">
        <f>IFERROR(VLOOKUP(D123,[3]Bai2_VuotQua!$D$8:$I$120,6,FALSE),"NY")</f>
        <v>NY</v>
      </c>
      <c r="H123" s="2" t="str">
        <f>IFERROR(VLOOKUP(D123,[3]Bai3_VuotQua!$D$8:$I$122,6,FALSE),"NY")</f>
        <v>NY</v>
      </c>
      <c r="I123" s="2" t="str">
        <f>IFERROR(VLOOKUP(D123,[3]Bai4_VuotQua!$D$8:$I$117,6,FALSE),"NY")</f>
        <v>NY</v>
      </c>
      <c r="J123" s="2" t="str">
        <f t="shared" si="1"/>
        <v>NY</v>
      </c>
      <c r="K123" s="2" t="str">
        <f>VLOOKUP($D123,[1]Bai1_View!$E$2:$J$177,5,FALSE)</f>
        <v>HCM</v>
      </c>
      <c r="L123" s="2" t="str">
        <f>VLOOKUP($D123,[1]Bai1_View!$E$2:$J$177,6,FALSE)</f>
        <v>A. Tri</v>
      </c>
      <c r="M123" s="2">
        <f>IFERROR(VLOOKUP(D123,[2]Hồng!$D$1:$M$21,10,FALSE),0)</f>
        <v>0</v>
      </c>
    </row>
    <row r="124" spans="1:13" x14ac:dyDescent="0.25">
      <c r="A124" s="2">
        <v>122</v>
      </c>
      <c r="B124" s="2" t="s">
        <v>525</v>
      </c>
      <c r="C124" s="2" t="s">
        <v>526</v>
      </c>
      <c r="D124" s="2" t="s">
        <v>527</v>
      </c>
      <c r="E124" s="2" t="s">
        <v>528</v>
      </c>
      <c r="F124" s="2" t="str">
        <f>IFERROR(VLOOKUP(D124,[3]Bai1_VuotQua!$D$8:$I$143,6,FALSE),"NY")</f>
        <v>NY</v>
      </c>
      <c r="G124" s="2" t="str">
        <f>IFERROR(VLOOKUP(D124,[3]Bai2_VuotQua!$D$8:$I$120,6,FALSE),"NY")</f>
        <v>done</v>
      </c>
      <c r="H124" s="2" t="str">
        <f>IFERROR(VLOOKUP(D124,[3]Bai3_VuotQua!$D$8:$I$122,6,FALSE),"NY")</f>
        <v>done</v>
      </c>
      <c r="I124" s="2" t="str">
        <f>IFERROR(VLOOKUP(D124,[3]Bai4_VuotQua!$D$8:$I$117,6,FALSE),"NY")</f>
        <v>done</v>
      </c>
      <c r="J124" s="2" t="str">
        <f t="shared" si="1"/>
        <v>done 3 lession</v>
      </c>
      <c r="K124" s="2" t="s">
        <v>125</v>
      </c>
      <c r="L124" s="2" t="s">
        <v>19</v>
      </c>
      <c r="M124" s="2">
        <f>IFERROR(VLOOKUP(D124,[2]Hồng!$D$1:$M$21,10,FALSE),0)</f>
        <v>0</v>
      </c>
    </row>
    <row r="125" spans="1:13" x14ac:dyDescent="0.25">
      <c r="A125" s="2">
        <v>123</v>
      </c>
      <c r="B125" s="2" t="s">
        <v>529</v>
      </c>
      <c r="C125" s="2" t="s">
        <v>530</v>
      </c>
      <c r="D125" s="2" t="s">
        <v>531</v>
      </c>
      <c r="E125" s="2" t="s">
        <v>532</v>
      </c>
      <c r="F125" s="2" t="str">
        <f>IFERROR(VLOOKUP(D125,[3]Bai1_VuotQua!$D$8:$I$143,6,FALSE),"NY")</f>
        <v>NY</v>
      </c>
      <c r="G125" s="2" t="str">
        <f>IFERROR(VLOOKUP(D125,[3]Bai2_VuotQua!$D$8:$I$120,6,FALSE),"NY")</f>
        <v>NY</v>
      </c>
      <c r="H125" s="2" t="str">
        <f>IFERROR(VLOOKUP(D125,[3]Bai3_VuotQua!$D$8:$I$122,6,FALSE),"NY")</f>
        <v>NY</v>
      </c>
      <c r="I125" s="2" t="str">
        <f>IFERROR(VLOOKUP(D125,[3]Bai4_VuotQua!$D$8:$I$117,6,FALSE),"NY")</f>
        <v>NY</v>
      </c>
      <c r="J125" s="2" t="str">
        <f t="shared" si="1"/>
        <v>NY</v>
      </c>
      <c r="K125" s="2" t="str">
        <f>VLOOKUP($D125,[1]Bai1_View!$E$2:$J$177,5,FALSE)</f>
        <v>HCM</v>
      </c>
      <c r="L125" s="2" t="str">
        <f>VLOOKUP($D125,[1]Bai1_View!$E$2:$J$177,6,FALSE)</f>
        <v>A. Tri</v>
      </c>
      <c r="M125" s="2">
        <f>IFERROR(VLOOKUP(D125,[2]Hồng!$D$1:$M$21,10,FALSE),0)</f>
        <v>0</v>
      </c>
    </row>
    <row r="126" spans="1:13" x14ac:dyDescent="0.25">
      <c r="A126" s="2">
        <v>124</v>
      </c>
      <c r="B126" s="2" t="s">
        <v>533</v>
      </c>
      <c r="C126" s="2" t="s">
        <v>534</v>
      </c>
      <c r="D126" s="2" t="s">
        <v>535</v>
      </c>
      <c r="E126" s="2" t="s">
        <v>536</v>
      </c>
      <c r="F126" s="2" t="str">
        <f>IFERROR(VLOOKUP(D126,[3]Bai1_VuotQua!$D$8:$I$143,6,FALSE),"NY")</f>
        <v>NY</v>
      </c>
      <c r="G126" s="2" t="str">
        <f>IFERROR(VLOOKUP(D126,[3]Bai2_VuotQua!$D$8:$I$120,6,FALSE),"NY")</f>
        <v>NY</v>
      </c>
      <c r="H126" s="2" t="str">
        <f>IFERROR(VLOOKUP(D126,[3]Bai3_VuotQua!$D$8:$I$122,6,FALSE),"NY")</f>
        <v>NY</v>
      </c>
      <c r="I126" s="2" t="str">
        <f>IFERROR(VLOOKUP(D126,[3]Bai4_VuotQua!$D$8:$I$117,6,FALSE),"NY")</f>
        <v>NY</v>
      </c>
      <c r="J126" s="2" t="str">
        <f t="shared" si="1"/>
        <v>NY</v>
      </c>
      <c r="K126" s="2" t="s">
        <v>27</v>
      </c>
      <c r="L126" s="2" t="s">
        <v>20</v>
      </c>
      <c r="M126" s="2">
        <f>IFERROR(VLOOKUP(D126,[2]Hồng!$D$1:$M$21,10,FALSE),0)</f>
        <v>0</v>
      </c>
    </row>
    <row r="127" spans="1:13" x14ac:dyDescent="0.25">
      <c r="A127" s="2">
        <v>125</v>
      </c>
      <c r="B127" s="2" t="s">
        <v>537</v>
      </c>
      <c r="C127" s="2" t="s">
        <v>538</v>
      </c>
      <c r="D127" s="2" t="s">
        <v>539</v>
      </c>
      <c r="E127" s="2" t="s">
        <v>540</v>
      </c>
      <c r="F127" s="2" t="str">
        <f>IFERROR(VLOOKUP(D127,[3]Bai1_VuotQua!$D$8:$I$143,6,FALSE),"NY")</f>
        <v>done</v>
      </c>
      <c r="G127" s="2" t="str">
        <f>IFERROR(VLOOKUP(D127,[3]Bai2_VuotQua!$D$8:$I$120,6,FALSE),"NY")</f>
        <v>done</v>
      </c>
      <c r="H127" s="2" t="str">
        <f>IFERROR(VLOOKUP(D127,[3]Bai3_VuotQua!$D$8:$I$122,6,FALSE),"NY")</f>
        <v>done</v>
      </c>
      <c r="I127" s="2" t="str">
        <f>IFERROR(VLOOKUP(D127,[3]Bai4_VuotQua!$D$8:$I$117,6,FALSE),"NY")</f>
        <v>done</v>
      </c>
      <c r="J127" s="2" t="str">
        <f t="shared" si="1"/>
        <v>done all</v>
      </c>
      <c r="K127" s="2" t="str">
        <f>VLOOKUP($D127,[1]Bai1_View!$E$2:$J$177,5,FALSE)</f>
        <v>Khánh Hòa</v>
      </c>
      <c r="L127" s="2" t="str">
        <f>VLOOKUP($D127,[1]Bai1_View!$E$2:$J$177,6,FALSE)</f>
        <v>A. Tho</v>
      </c>
      <c r="M127" s="2">
        <f>IFERROR(VLOOKUP(D127,[2]Hồng!$D$1:$M$21,10,FALSE),0)</f>
        <v>0</v>
      </c>
    </row>
    <row r="128" spans="1:13" x14ac:dyDescent="0.25">
      <c r="A128" s="2">
        <v>126</v>
      </c>
      <c r="B128" s="2" t="s">
        <v>541</v>
      </c>
      <c r="C128" s="2" t="s">
        <v>542</v>
      </c>
      <c r="D128" s="2" t="s">
        <v>543</v>
      </c>
      <c r="E128" s="2" t="s">
        <v>133</v>
      </c>
      <c r="F128" s="2" t="str">
        <f>IFERROR(VLOOKUP(D128,[3]Bai1_VuotQua!$D$8:$I$143,6,FALSE),"NY")</f>
        <v>done</v>
      </c>
      <c r="G128" s="2" t="str">
        <f>IFERROR(VLOOKUP(D128,[3]Bai2_VuotQua!$D$8:$I$120,6,FALSE),"NY")</f>
        <v>NY</v>
      </c>
      <c r="H128" s="2" t="str">
        <f>IFERROR(VLOOKUP(D128,[3]Bai3_VuotQua!$D$8:$I$122,6,FALSE),"NY")</f>
        <v>NY</v>
      </c>
      <c r="I128" s="2" t="str">
        <f>IFERROR(VLOOKUP(D128,[3]Bai4_VuotQua!$D$8:$I$117,6,FALSE),"NY")</f>
        <v>NY</v>
      </c>
      <c r="J128" s="2" t="str">
        <f t="shared" si="1"/>
        <v>done 1 lession</v>
      </c>
      <c r="K128" s="2" t="s">
        <v>27</v>
      </c>
      <c r="L128" s="2" t="s">
        <v>20</v>
      </c>
      <c r="M128" s="2">
        <f>IFERROR(VLOOKUP(D128,[2]Hồng!$D$1:$M$21,10,FALSE),0)</f>
        <v>0</v>
      </c>
    </row>
    <row r="129" spans="1:13" x14ac:dyDescent="0.25">
      <c r="A129" s="2">
        <v>127</v>
      </c>
      <c r="B129" s="2" t="s">
        <v>544</v>
      </c>
      <c r="C129" s="2" t="s">
        <v>545</v>
      </c>
      <c r="D129" s="2" t="s">
        <v>546</v>
      </c>
      <c r="E129" s="2" t="s">
        <v>547</v>
      </c>
      <c r="F129" s="2" t="str">
        <f>IFERROR(VLOOKUP(D129,[3]Bai1_VuotQua!$D$8:$I$143,6,FALSE),"NY")</f>
        <v>done</v>
      </c>
      <c r="G129" s="2" t="str">
        <f>IFERROR(VLOOKUP(D129,[3]Bai2_VuotQua!$D$8:$I$120,6,FALSE),"NY")</f>
        <v>done</v>
      </c>
      <c r="H129" s="2" t="str">
        <f>IFERROR(VLOOKUP(D129,[3]Bai3_VuotQua!$D$8:$I$122,6,FALSE),"NY")</f>
        <v>done</v>
      </c>
      <c r="I129" s="2" t="str">
        <f>IFERROR(VLOOKUP(D129,[3]Bai4_VuotQua!$D$8:$I$117,6,FALSE),"NY")</f>
        <v>done</v>
      </c>
      <c r="J129" s="2" t="str">
        <f t="shared" si="1"/>
        <v>done all</v>
      </c>
      <c r="K129" s="2" t="s">
        <v>27</v>
      </c>
      <c r="L129" s="2" t="s">
        <v>20</v>
      </c>
      <c r="M129" s="2" t="str">
        <f>IFERROR(VLOOKUP(D129,[2]Hồng!$D$1:$M$21,10,FALSE),0)</f>
        <v>ok</v>
      </c>
    </row>
    <row r="130" spans="1:13" x14ac:dyDescent="0.25">
      <c r="A130" s="2">
        <v>128</v>
      </c>
      <c r="B130" s="2" t="s">
        <v>548</v>
      </c>
      <c r="C130" s="2" t="s">
        <v>549</v>
      </c>
      <c r="D130" s="2" t="s">
        <v>550</v>
      </c>
      <c r="E130" s="2" t="s">
        <v>551</v>
      </c>
      <c r="F130" s="2" t="str">
        <f>IFERROR(VLOOKUP(D130,[3]Bai1_VuotQua!$D$8:$I$143,6,FALSE),"NY")</f>
        <v>done</v>
      </c>
      <c r="G130" s="2" t="str">
        <f>IFERROR(VLOOKUP(D130,[3]Bai2_VuotQua!$D$8:$I$120,6,FALSE),"NY")</f>
        <v>done</v>
      </c>
      <c r="H130" s="2" t="str">
        <f>IFERROR(VLOOKUP(D130,[3]Bai3_VuotQua!$D$8:$I$122,6,FALSE),"NY")</f>
        <v>done</v>
      </c>
      <c r="I130" s="2" t="str">
        <f>IFERROR(VLOOKUP(D130,[3]Bai4_VuotQua!$D$8:$I$117,6,FALSE),"NY")</f>
        <v>done</v>
      </c>
      <c r="J130" s="2" t="str">
        <f t="shared" si="1"/>
        <v>done all</v>
      </c>
      <c r="K130" s="2" t="str">
        <f>VLOOKUP($D130,[1]Bai1_View!$E$2:$J$177,5,FALSE)</f>
        <v>Cần Thơ</v>
      </c>
      <c r="L130" s="2" t="str">
        <f>VLOOKUP($D130,[1]Bai1_View!$E$2:$J$177,6,FALSE)</f>
        <v>A. Tho</v>
      </c>
      <c r="M130" s="2">
        <f>IFERROR(VLOOKUP(D130,[2]Hồng!$D$1:$M$21,10,FALSE),0)</f>
        <v>0</v>
      </c>
    </row>
    <row r="131" spans="1:13" x14ac:dyDescent="0.25">
      <c r="A131" s="2">
        <v>129</v>
      </c>
      <c r="B131" s="2" t="s">
        <v>314</v>
      </c>
      <c r="C131" s="2" t="s">
        <v>552</v>
      </c>
      <c r="D131" s="2" t="s">
        <v>553</v>
      </c>
      <c r="E131" s="2" t="s">
        <v>554</v>
      </c>
      <c r="F131" s="2" t="str">
        <f>IFERROR(VLOOKUP(D131,[3]Bai1_VuotQua!$D$8:$I$143,6,FALSE),"NY")</f>
        <v>NY</v>
      </c>
      <c r="G131" s="2" t="str">
        <f>IFERROR(VLOOKUP(D131,[3]Bai2_VuotQua!$D$8:$I$120,6,FALSE),"NY")</f>
        <v>NY</v>
      </c>
      <c r="H131" s="2" t="str">
        <f>IFERROR(VLOOKUP(D131,[3]Bai3_VuotQua!$D$8:$I$122,6,FALSE),"NY")</f>
        <v>NY</v>
      </c>
      <c r="I131" s="2" t="str">
        <f>IFERROR(VLOOKUP(D131,[3]Bai4_VuotQua!$D$8:$I$117,6,FALSE),"NY")</f>
        <v>NY</v>
      </c>
      <c r="J131" s="2" t="str">
        <f t="shared" si="1"/>
        <v>NY</v>
      </c>
      <c r="K131" s="2" t="str">
        <f>VLOOKUP($D131,[1]Bai1_View!$E$2:$J$177,5,FALSE)</f>
        <v>HN</v>
      </c>
      <c r="L131" s="2" t="str">
        <f>VLOOKUP($D131,[1]Bai1_View!$E$2:$J$177,6,FALSE)</f>
        <v>C. Quy</v>
      </c>
      <c r="M131" s="2">
        <f>IFERROR(VLOOKUP(D131,[2]Hồng!$D$1:$M$21,10,FALSE),0)</f>
        <v>0</v>
      </c>
    </row>
    <row r="132" spans="1:13" x14ac:dyDescent="0.25">
      <c r="A132" s="2">
        <v>130</v>
      </c>
      <c r="B132" s="2" t="s">
        <v>555</v>
      </c>
      <c r="C132" s="2" t="s">
        <v>556</v>
      </c>
      <c r="D132" s="2" t="s">
        <v>557</v>
      </c>
      <c r="E132" s="2" t="s">
        <v>558</v>
      </c>
      <c r="F132" s="2" t="str">
        <f>IFERROR(VLOOKUP(D132,[3]Bai1_VuotQua!$D$8:$I$143,6,FALSE),"NY")</f>
        <v>NY</v>
      </c>
      <c r="G132" s="2" t="str">
        <f>IFERROR(VLOOKUP(D132,[3]Bai2_VuotQua!$D$8:$I$120,6,FALSE),"NY")</f>
        <v>NY</v>
      </c>
      <c r="H132" s="2" t="str">
        <f>IFERROR(VLOOKUP(D132,[3]Bai3_VuotQua!$D$8:$I$122,6,FALSE),"NY")</f>
        <v>NY</v>
      </c>
      <c r="I132" s="2" t="str">
        <f>IFERROR(VLOOKUP(D132,[3]Bai4_VuotQua!$D$8:$I$117,6,FALSE),"NY")</f>
        <v>NY</v>
      </c>
      <c r="J132" s="2" t="str">
        <f t="shared" ref="J132:J195" si="2">IF(AND(F132="done",G132="done",H132="done",I132="done"),"done all",IF(OR(AND(F132="done",G132="done",H132="done"),AND(F132="done",G132="done",I132="done"),AND(F132="done",H132="done",I132="done"),AND(G132="done",H132="done",I132="done")),"done 3 lession",IF(OR(AND(F132="done",G132="done"),AND(F132="done",H132="done"),AND(F132="done",I132="done"),AND(G132="done",H132="done"),AND(G132="done",I132="done"),AND(H132="done",I132="done")),"done 2 lession",IF(OR(F132="done",G132="done",H132="done",I132="done"),"done 1 lession","NY"))))</f>
        <v>NY</v>
      </c>
      <c r="K132" s="2" t="s">
        <v>27</v>
      </c>
      <c r="L132" s="2" t="s">
        <v>20</v>
      </c>
      <c r="M132" s="2">
        <f>IFERROR(VLOOKUP(D132,[2]Hồng!$D$1:$M$21,10,FALSE),0)</f>
        <v>0</v>
      </c>
    </row>
    <row r="133" spans="1:13" x14ac:dyDescent="0.25">
      <c r="A133" s="2">
        <v>131</v>
      </c>
      <c r="B133" s="2" t="s">
        <v>559</v>
      </c>
      <c r="C133" s="2" t="s">
        <v>560</v>
      </c>
      <c r="D133" s="2" t="s">
        <v>561</v>
      </c>
      <c r="E133" s="2" t="s">
        <v>562</v>
      </c>
      <c r="F133" s="2" t="str">
        <f>IFERROR(VLOOKUP(D133,[3]Bai1_VuotQua!$D$8:$I$143,6,FALSE),"NY")</f>
        <v>NY</v>
      </c>
      <c r="G133" s="2" t="str">
        <f>IFERROR(VLOOKUP(D133,[3]Bai2_VuotQua!$D$8:$I$120,6,FALSE),"NY")</f>
        <v>NY</v>
      </c>
      <c r="H133" s="2" t="str">
        <f>IFERROR(VLOOKUP(D133,[3]Bai3_VuotQua!$D$8:$I$122,6,FALSE),"NY")</f>
        <v>NY</v>
      </c>
      <c r="I133" s="2" t="str">
        <f>IFERROR(VLOOKUP(D133,[3]Bai4_VuotQua!$D$8:$I$117,6,FALSE),"NY")</f>
        <v>NY</v>
      </c>
      <c r="J133" s="2" t="str">
        <f t="shared" si="2"/>
        <v>NY</v>
      </c>
      <c r="K133" s="2" t="s">
        <v>27</v>
      </c>
      <c r="L133" s="2" t="s">
        <v>20</v>
      </c>
      <c r="M133" s="2">
        <f>IFERROR(VLOOKUP(D133,[2]Hồng!$D$1:$M$21,10,FALSE),0)</f>
        <v>0</v>
      </c>
    </row>
    <row r="134" spans="1:13" x14ac:dyDescent="0.25">
      <c r="A134" s="2">
        <v>132</v>
      </c>
      <c r="B134" s="2" t="s">
        <v>563</v>
      </c>
      <c r="C134" s="2" t="s">
        <v>564</v>
      </c>
      <c r="D134" s="2" t="s">
        <v>565</v>
      </c>
      <c r="E134" s="2" t="s">
        <v>566</v>
      </c>
      <c r="F134" s="2" t="str">
        <f>IFERROR(VLOOKUP(D134,[3]Bai1_VuotQua!$D$8:$I$143,6,FALSE),"NY")</f>
        <v>NY</v>
      </c>
      <c r="G134" s="2" t="str">
        <f>IFERROR(VLOOKUP(D134,[3]Bai2_VuotQua!$D$8:$I$120,6,FALSE),"NY")</f>
        <v>NY</v>
      </c>
      <c r="H134" s="2" t="str">
        <f>IFERROR(VLOOKUP(D134,[3]Bai3_VuotQua!$D$8:$I$122,6,FALSE),"NY")</f>
        <v>NY</v>
      </c>
      <c r="I134" s="2" t="str">
        <f>IFERROR(VLOOKUP(D134,[3]Bai4_VuotQua!$D$8:$I$117,6,FALSE),"NY")</f>
        <v>NY</v>
      </c>
      <c r="J134" s="2" t="str">
        <f t="shared" si="2"/>
        <v>NY</v>
      </c>
      <c r="K134" s="2" t="str">
        <f>VLOOKUP($D134,[1]Bai1_View!$E$2:$J$177,5,FALSE)</f>
        <v>HCM</v>
      </c>
      <c r="L134" s="2" t="str">
        <f>VLOOKUP($D134,[1]Bai1_View!$E$2:$J$177,6,FALSE)</f>
        <v>A. Tri</v>
      </c>
      <c r="M134" s="2">
        <f>IFERROR(VLOOKUP(D134,[2]Hồng!$D$1:$M$21,10,FALSE),0)</f>
        <v>0</v>
      </c>
    </row>
    <row r="135" spans="1:13" x14ac:dyDescent="0.25">
      <c r="A135" s="2">
        <v>133</v>
      </c>
      <c r="B135" s="2" t="s">
        <v>567</v>
      </c>
      <c r="C135" s="2" t="s">
        <v>568</v>
      </c>
      <c r="D135" s="2" t="s">
        <v>569</v>
      </c>
      <c r="E135" s="2" t="s">
        <v>570</v>
      </c>
      <c r="F135" s="2" t="str">
        <f>IFERROR(VLOOKUP(D135,[3]Bai1_VuotQua!$D$8:$I$143,6,FALSE),"NY")</f>
        <v>NY</v>
      </c>
      <c r="G135" s="2" t="str">
        <f>IFERROR(VLOOKUP(D135,[3]Bai2_VuotQua!$D$8:$I$120,6,FALSE),"NY")</f>
        <v>NY</v>
      </c>
      <c r="H135" s="2" t="str">
        <f>IFERROR(VLOOKUP(D135,[3]Bai3_VuotQua!$D$8:$I$122,6,FALSE),"NY")</f>
        <v>NY</v>
      </c>
      <c r="I135" s="2" t="str">
        <f>IFERROR(VLOOKUP(D135,[3]Bai4_VuotQua!$D$8:$I$117,6,FALSE),"NY")</f>
        <v>NY</v>
      </c>
      <c r="J135" s="2" t="str">
        <f t="shared" si="2"/>
        <v>NY</v>
      </c>
      <c r="K135" s="2" t="s">
        <v>61</v>
      </c>
      <c r="L135" s="2" t="s">
        <v>17</v>
      </c>
      <c r="M135" s="2">
        <f>IFERROR(VLOOKUP(D135,[2]Hồng!$D$1:$M$21,10,FALSE),0)</f>
        <v>0</v>
      </c>
    </row>
    <row r="136" spans="1:13" x14ac:dyDescent="0.25">
      <c r="A136" s="2">
        <v>134</v>
      </c>
      <c r="B136" s="2" t="s">
        <v>571</v>
      </c>
      <c r="C136" s="2" t="s">
        <v>572</v>
      </c>
      <c r="D136" s="2" t="s">
        <v>573</v>
      </c>
      <c r="E136" s="2" t="s">
        <v>574</v>
      </c>
      <c r="F136" s="2" t="str">
        <f>IFERROR(VLOOKUP(D136,[3]Bai1_VuotQua!$D$8:$I$143,6,FALSE),"NY")</f>
        <v>NY</v>
      </c>
      <c r="G136" s="2" t="str">
        <f>IFERROR(VLOOKUP(D136,[3]Bai2_VuotQua!$D$8:$I$120,6,FALSE),"NY")</f>
        <v>NY</v>
      </c>
      <c r="H136" s="2" t="str">
        <f>IFERROR(VLOOKUP(D136,[3]Bai3_VuotQua!$D$8:$I$122,6,FALSE),"NY")</f>
        <v>NY</v>
      </c>
      <c r="I136" s="2" t="str">
        <f>IFERROR(VLOOKUP(D136,[3]Bai4_VuotQua!$D$8:$I$117,6,FALSE),"NY")</f>
        <v>NY</v>
      </c>
      <c r="J136" s="2" t="str">
        <f t="shared" si="2"/>
        <v>NY</v>
      </c>
      <c r="K136" s="2" t="str">
        <f>VLOOKUP($D136,[1]Bai1_View!$E$2:$J$177,5,FALSE)</f>
        <v>Nghệ An</v>
      </c>
      <c r="L136" s="2" t="str">
        <f>VLOOKUP($D136,[1]Bai1_View!$E$2:$J$177,6,FALSE)</f>
        <v>A. Tuan</v>
      </c>
      <c r="M136" s="2">
        <f>IFERROR(VLOOKUP(D136,[2]Hồng!$D$1:$M$21,10,FALSE),0)</f>
        <v>0</v>
      </c>
    </row>
    <row r="137" spans="1:13" x14ac:dyDescent="0.25">
      <c r="A137" s="2">
        <v>135</v>
      </c>
      <c r="B137" s="2" t="s">
        <v>575</v>
      </c>
      <c r="C137" s="2" t="s">
        <v>576</v>
      </c>
      <c r="D137" s="2" t="s">
        <v>577</v>
      </c>
      <c r="E137" s="2" t="s">
        <v>578</v>
      </c>
      <c r="F137" s="2" t="str">
        <f>IFERROR(VLOOKUP(D137,[3]Bai1_VuotQua!$D$8:$I$143,6,FALSE),"NY")</f>
        <v>done</v>
      </c>
      <c r="G137" s="2" t="str">
        <f>IFERROR(VLOOKUP(D137,[3]Bai2_VuotQua!$D$8:$I$120,6,FALSE),"NY")</f>
        <v>done</v>
      </c>
      <c r="H137" s="2" t="str">
        <f>IFERROR(VLOOKUP(D137,[3]Bai3_VuotQua!$D$8:$I$122,6,FALSE),"NY")</f>
        <v>done</v>
      </c>
      <c r="I137" s="2" t="str">
        <f>IFERROR(VLOOKUP(D137,[3]Bai4_VuotQua!$D$8:$I$117,6,FALSE),"NY")</f>
        <v>done</v>
      </c>
      <c r="J137" s="2" t="str">
        <f t="shared" si="2"/>
        <v>done all</v>
      </c>
      <c r="K137" s="2" t="s">
        <v>125</v>
      </c>
      <c r="L137" s="2" t="s">
        <v>19</v>
      </c>
      <c r="M137" s="2">
        <f>IFERROR(VLOOKUP(D137,[2]Hồng!$D$1:$M$21,10,FALSE),0)</f>
        <v>0</v>
      </c>
    </row>
    <row r="138" spans="1:13" x14ac:dyDescent="0.25">
      <c r="A138" s="2">
        <v>136</v>
      </c>
      <c r="B138" s="2" t="s">
        <v>579</v>
      </c>
      <c r="C138" s="2" t="s">
        <v>426</v>
      </c>
      <c r="D138" s="2" t="s">
        <v>580</v>
      </c>
      <c r="E138" s="2" t="s">
        <v>581</v>
      </c>
      <c r="F138" s="2" t="str">
        <f>IFERROR(VLOOKUP(D138,[3]Bai1_VuotQua!$D$8:$I$143,6,FALSE),"NY")</f>
        <v>NY</v>
      </c>
      <c r="G138" s="2" t="str">
        <f>IFERROR(VLOOKUP(D138,[3]Bai2_VuotQua!$D$8:$I$120,6,FALSE),"NY")</f>
        <v>NY</v>
      </c>
      <c r="H138" s="2" t="str">
        <f>IFERROR(VLOOKUP(D138,[3]Bai3_VuotQua!$D$8:$I$122,6,FALSE),"NY")</f>
        <v>NY</v>
      </c>
      <c r="I138" s="2" t="str">
        <f>IFERROR(VLOOKUP(D138,[3]Bai4_VuotQua!$D$8:$I$117,6,FALSE),"NY")</f>
        <v>NY</v>
      </c>
      <c r="J138" s="2" t="str">
        <f t="shared" si="2"/>
        <v>NY</v>
      </c>
      <c r="K138" s="2" t="s">
        <v>27</v>
      </c>
      <c r="L138" s="2" t="s">
        <v>20</v>
      </c>
      <c r="M138" s="2">
        <f>IFERROR(VLOOKUP(D138,[2]Hồng!$D$1:$M$21,10,FALSE),0)</f>
        <v>0</v>
      </c>
    </row>
    <row r="139" spans="1:13" x14ac:dyDescent="0.25">
      <c r="A139" s="2">
        <v>137</v>
      </c>
      <c r="B139" s="2" t="s">
        <v>582</v>
      </c>
      <c r="C139" s="2" t="s">
        <v>583</v>
      </c>
      <c r="D139" s="2" t="s">
        <v>584</v>
      </c>
      <c r="E139" s="2" t="s">
        <v>585</v>
      </c>
      <c r="F139" s="2" t="str">
        <f>IFERROR(VLOOKUP(D139,[3]Bai1_VuotQua!$D$8:$I$143,6,FALSE),"NY")</f>
        <v>done</v>
      </c>
      <c r="G139" s="2" t="str">
        <f>IFERROR(VLOOKUP(D139,[3]Bai2_VuotQua!$D$8:$I$120,6,FALSE),"NY")</f>
        <v>done</v>
      </c>
      <c r="H139" s="2" t="str">
        <f>IFERROR(VLOOKUP(D139,[3]Bai3_VuotQua!$D$8:$I$122,6,FALSE),"NY")</f>
        <v>done</v>
      </c>
      <c r="I139" s="2" t="str">
        <f>IFERROR(VLOOKUP(D139,[3]Bai4_VuotQua!$D$8:$I$117,6,FALSE),"NY")</f>
        <v>done</v>
      </c>
      <c r="J139" s="2" t="str">
        <f t="shared" si="2"/>
        <v>done all</v>
      </c>
      <c r="K139" s="2" t="str">
        <f>VLOOKUP($D139,[1]Bai1_View!$E$2:$J$177,5,FALSE)</f>
        <v>Cần Thơ</v>
      </c>
      <c r="L139" s="2" t="str">
        <f>VLOOKUP($D139,[1]Bai1_View!$E$2:$J$177,6,FALSE)</f>
        <v>A. Tho</v>
      </c>
      <c r="M139" s="2">
        <f>IFERROR(VLOOKUP(D139,[2]Hồng!$D$1:$M$21,10,FALSE),0)</f>
        <v>0</v>
      </c>
    </row>
    <row r="140" spans="1:13" x14ac:dyDescent="0.25">
      <c r="A140" s="2">
        <v>138</v>
      </c>
      <c r="B140" s="2" t="s">
        <v>586</v>
      </c>
      <c r="C140" s="2" t="s">
        <v>587</v>
      </c>
      <c r="D140" s="2" t="s">
        <v>588</v>
      </c>
      <c r="E140" s="2" t="s">
        <v>589</v>
      </c>
      <c r="F140" s="2" t="str">
        <f>IFERROR(VLOOKUP(D140,[3]Bai1_VuotQua!$D$8:$I$143,6,FALSE),"NY")</f>
        <v>done</v>
      </c>
      <c r="G140" s="2" t="str">
        <f>IFERROR(VLOOKUP(D140,[3]Bai2_VuotQua!$D$8:$I$120,6,FALSE),"NY")</f>
        <v>done</v>
      </c>
      <c r="H140" s="2" t="str">
        <f>IFERROR(VLOOKUP(D140,[3]Bai3_VuotQua!$D$8:$I$122,6,FALSE),"NY")</f>
        <v>done</v>
      </c>
      <c r="I140" s="2" t="str">
        <f>IFERROR(VLOOKUP(D140,[3]Bai4_VuotQua!$D$8:$I$117,6,FALSE),"NY")</f>
        <v>done</v>
      </c>
      <c r="J140" s="2" t="str">
        <f t="shared" si="2"/>
        <v>done all</v>
      </c>
      <c r="K140" s="2" t="str">
        <f>VLOOKUP($D140,[1]Bai1_View!$E$2:$J$177,5,FALSE)</f>
        <v>Đồng Nai</v>
      </c>
      <c r="L140" s="2" t="str">
        <f>VLOOKUP($D140,[1]Bai1_View!$E$2:$J$177,6,FALSE)</f>
        <v>A. Tho</v>
      </c>
      <c r="M140" s="2">
        <f>IFERROR(VLOOKUP(D140,[2]Hồng!$D$1:$M$21,10,FALSE),0)</f>
        <v>0</v>
      </c>
    </row>
    <row r="141" spans="1:13" x14ac:dyDescent="0.25">
      <c r="A141" s="2">
        <v>139</v>
      </c>
      <c r="B141" s="2" t="s">
        <v>590</v>
      </c>
      <c r="C141" s="2" t="s">
        <v>591</v>
      </c>
      <c r="D141" s="2" t="s">
        <v>592</v>
      </c>
      <c r="E141" s="2" t="s">
        <v>593</v>
      </c>
      <c r="F141" s="2" t="str">
        <f>IFERROR(VLOOKUP(D141,[3]Bai1_VuotQua!$D$8:$I$143,6,FALSE),"NY")</f>
        <v>NY</v>
      </c>
      <c r="G141" s="2" t="str">
        <f>IFERROR(VLOOKUP(D141,[3]Bai2_VuotQua!$D$8:$I$120,6,FALSE),"NY")</f>
        <v>NY</v>
      </c>
      <c r="H141" s="2" t="str">
        <f>IFERROR(VLOOKUP(D141,[3]Bai3_VuotQua!$D$8:$I$122,6,FALSE),"NY")</f>
        <v>NY</v>
      </c>
      <c r="I141" s="2" t="str">
        <f>IFERROR(VLOOKUP(D141,[3]Bai4_VuotQua!$D$8:$I$117,6,FALSE),"NY")</f>
        <v>NY</v>
      </c>
      <c r="J141" s="2" t="str">
        <f t="shared" si="2"/>
        <v>NY</v>
      </c>
      <c r="K141" s="2" t="str">
        <f>VLOOKUP($D141,[1]Bai1_View!$E$2:$J$177,5,FALSE)</f>
        <v>HN</v>
      </c>
      <c r="L141" s="2" t="str">
        <f>VLOOKUP($D141,[1]Bai1_View!$E$2:$J$177,6,FALSE)</f>
        <v>C. Quy</v>
      </c>
      <c r="M141" s="2">
        <f>IFERROR(VLOOKUP(D141,[2]Hồng!$D$1:$M$21,10,FALSE),0)</f>
        <v>0</v>
      </c>
    </row>
    <row r="142" spans="1:13" x14ac:dyDescent="0.25">
      <c r="A142" s="2">
        <v>140</v>
      </c>
      <c r="B142" s="2" t="s">
        <v>594</v>
      </c>
      <c r="C142" s="2" t="s">
        <v>595</v>
      </c>
      <c r="D142" s="2" t="s">
        <v>596</v>
      </c>
      <c r="E142" s="2" t="s">
        <v>597</v>
      </c>
      <c r="F142" s="2" t="str">
        <f>IFERROR(VLOOKUP(D142,[3]Bai1_VuotQua!$D$8:$I$143,6,FALSE),"NY")</f>
        <v>done</v>
      </c>
      <c r="G142" s="2" t="str">
        <f>IFERROR(VLOOKUP(D142,[3]Bai2_VuotQua!$D$8:$I$120,6,FALSE),"NY")</f>
        <v>done</v>
      </c>
      <c r="H142" s="2" t="str">
        <f>IFERROR(VLOOKUP(D142,[3]Bai3_VuotQua!$D$8:$I$122,6,FALSE),"NY")</f>
        <v>done</v>
      </c>
      <c r="I142" s="2" t="str">
        <f>IFERROR(VLOOKUP(D142,[3]Bai4_VuotQua!$D$8:$I$117,6,FALSE),"NY")</f>
        <v>done</v>
      </c>
      <c r="J142" s="2" t="str">
        <f t="shared" si="2"/>
        <v>done all</v>
      </c>
      <c r="K142" s="2" t="s">
        <v>76</v>
      </c>
      <c r="L142" s="2" t="s">
        <v>18</v>
      </c>
      <c r="M142" s="2">
        <f>IFERROR(VLOOKUP(D142,[2]Hồng!$D$1:$M$21,10,FALSE),0)</f>
        <v>0</v>
      </c>
    </row>
    <row r="143" spans="1:13" x14ac:dyDescent="0.25">
      <c r="A143" s="2">
        <v>141</v>
      </c>
      <c r="B143" s="2" t="s">
        <v>598</v>
      </c>
      <c r="C143" s="2" t="s">
        <v>599</v>
      </c>
      <c r="D143" s="2" t="s">
        <v>600</v>
      </c>
      <c r="E143" s="2" t="s">
        <v>129</v>
      </c>
      <c r="F143" s="2" t="str">
        <f>IFERROR(VLOOKUP(D143,[3]Bai1_VuotQua!$D$8:$I$143,6,FALSE),"NY")</f>
        <v>NY</v>
      </c>
      <c r="G143" s="2" t="str">
        <f>IFERROR(VLOOKUP(D143,[3]Bai2_VuotQua!$D$8:$I$120,6,FALSE),"NY")</f>
        <v>NY</v>
      </c>
      <c r="H143" s="2" t="str">
        <f>IFERROR(VLOOKUP(D143,[3]Bai3_VuotQua!$D$8:$I$122,6,FALSE),"NY")</f>
        <v>NY</v>
      </c>
      <c r="I143" s="2" t="str">
        <f>IFERROR(VLOOKUP(D143,[3]Bai4_VuotQua!$D$8:$I$117,6,FALSE),"NY")</f>
        <v>NY</v>
      </c>
      <c r="J143" s="2" t="str">
        <f t="shared" si="2"/>
        <v>NY</v>
      </c>
      <c r="K143" s="2" t="str">
        <f>VLOOKUP($D143,[1]Bai1_View!$E$2:$J$177,5,FALSE)</f>
        <v>HN</v>
      </c>
      <c r="L143" s="2" t="str">
        <f>VLOOKUP($D143,[1]Bai1_View!$E$2:$J$177,6,FALSE)</f>
        <v>C. Quy</v>
      </c>
      <c r="M143" s="2">
        <f>IFERROR(VLOOKUP(D143,[2]Hồng!$D$1:$M$21,10,FALSE),0)</f>
        <v>0</v>
      </c>
    </row>
    <row r="144" spans="1:13" x14ac:dyDescent="0.25">
      <c r="A144" s="2">
        <v>142</v>
      </c>
      <c r="B144" s="2" t="s">
        <v>601</v>
      </c>
      <c r="C144" s="2" t="s">
        <v>602</v>
      </c>
      <c r="D144" s="2" t="s">
        <v>603</v>
      </c>
      <c r="E144" s="2" t="s">
        <v>604</v>
      </c>
      <c r="F144" s="2" t="str">
        <f>IFERROR(VLOOKUP(D144,[3]Bai1_VuotQua!$D$8:$I$143,6,FALSE),"NY")</f>
        <v>done</v>
      </c>
      <c r="G144" s="2" t="str">
        <f>IFERROR(VLOOKUP(D144,[3]Bai2_VuotQua!$D$8:$I$120,6,FALSE),"NY")</f>
        <v>done</v>
      </c>
      <c r="H144" s="2" t="str">
        <f>IFERROR(VLOOKUP(D144,[3]Bai3_VuotQua!$D$8:$I$122,6,FALSE),"NY")</f>
        <v>done</v>
      </c>
      <c r="I144" s="2" t="str">
        <f>IFERROR(VLOOKUP(D144,[3]Bai4_VuotQua!$D$8:$I$117,6,FALSE),"NY")</f>
        <v>done</v>
      </c>
      <c r="J144" s="2" t="str">
        <f t="shared" si="2"/>
        <v>done all</v>
      </c>
      <c r="K144" s="2" t="s">
        <v>125</v>
      </c>
      <c r="L144" s="2" t="s">
        <v>19</v>
      </c>
      <c r="M144" s="2">
        <f>IFERROR(VLOOKUP(D144,[2]Hồng!$D$1:$M$21,10,FALSE),0)</f>
        <v>0</v>
      </c>
    </row>
    <row r="145" spans="1:13" x14ac:dyDescent="0.25">
      <c r="A145" s="2">
        <v>143</v>
      </c>
      <c r="B145" s="2" t="s">
        <v>605</v>
      </c>
      <c r="C145" s="2" t="s">
        <v>606</v>
      </c>
      <c r="D145" s="2" t="s">
        <v>607</v>
      </c>
      <c r="E145" s="2" t="s">
        <v>608</v>
      </c>
      <c r="F145" s="2" t="str">
        <f>IFERROR(VLOOKUP(D145,[3]Bai1_VuotQua!$D$8:$I$143,6,FALSE),"NY")</f>
        <v>NY</v>
      </c>
      <c r="G145" s="2" t="str">
        <f>IFERROR(VLOOKUP(D145,[3]Bai2_VuotQua!$D$8:$I$120,6,FALSE),"NY")</f>
        <v>NY</v>
      </c>
      <c r="H145" s="2" t="str">
        <f>IFERROR(VLOOKUP(D145,[3]Bai3_VuotQua!$D$8:$I$122,6,FALSE),"NY")</f>
        <v>NY</v>
      </c>
      <c r="I145" s="2" t="str">
        <f>IFERROR(VLOOKUP(D145,[3]Bai4_VuotQua!$D$8:$I$117,6,FALSE),"NY")</f>
        <v>NY</v>
      </c>
      <c r="J145" s="2" t="str">
        <f t="shared" si="2"/>
        <v>NY</v>
      </c>
      <c r="K145" s="2" t="str">
        <f>VLOOKUP($D145,[1]Bai1_View!$E$2:$J$177,5,FALSE)</f>
        <v>HN</v>
      </c>
      <c r="L145" s="2" t="str">
        <f>VLOOKUP($D145,[1]Bai1_View!$E$2:$J$177,6,FALSE)</f>
        <v>C. Quy</v>
      </c>
      <c r="M145" s="2">
        <f>IFERROR(VLOOKUP(D145,[2]Hồng!$D$1:$M$21,10,FALSE),0)</f>
        <v>0</v>
      </c>
    </row>
    <row r="146" spans="1:13" x14ac:dyDescent="0.25">
      <c r="A146" s="2">
        <v>144</v>
      </c>
      <c r="B146" s="2" t="s">
        <v>609</v>
      </c>
      <c r="C146" s="2" t="s">
        <v>83</v>
      </c>
      <c r="D146" s="2" t="s">
        <v>610</v>
      </c>
      <c r="E146" s="2" t="s">
        <v>611</v>
      </c>
      <c r="F146" s="2" t="str">
        <f>IFERROR(VLOOKUP(D146,[3]Bai1_VuotQua!$D$8:$I$143,6,FALSE),"NY")</f>
        <v>done</v>
      </c>
      <c r="G146" s="2" t="str">
        <f>IFERROR(VLOOKUP(D146,[3]Bai2_VuotQua!$D$8:$I$120,6,FALSE),"NY")</f>
        <v>done</v>
      </c>
      <c r="H146" s="2" t="str">
        <f>IFERROR(VLOOKUP(D146,[3]Bai3_VuotQua!$D$8:$I$122,6,FALSE),"NY")</f>
        <v>done</v>
      </c>
      <c r="I146" s="2" t="str">
        <f>IFERROR(VLOOKUP(D146,[3]Bai4_VuotQua!$D$8:$I$117,6,FALSE),"NY")</f>
        <v>NY</v>
      </c>
      <c r="J146" s="2" t="str">
        <f t="shared" si="2"/>
        <v>done 3 lession</v>
      </c>
      <c r="K146" s="2" t="s">
        <v>27</v>
      </c>
      <c r="L146" s="2" t="s">
        <v>20</v>
      </c>
      <c r="M146" s="2">
        <f>IFERROR(VLOOKUP(D146,[2]Hồng!$D$1:$M$21,10,FALSE),0)</f>
        <v>0</v>
      </c>
    </row>
    <row r="147" spans="1:13" x14ac:dyDescent="0.25">
      <c r="A147" s="2">
        <v>145</v>
      </c>
      <c r="B147" s="2" t="s">
        <v>612</v>
      </c>
      <c r="C147" s="2" t="s">
        <v>613</v>
      </c>
      <c r="D147" s="2" t="s">
        <v>614</v>
      </c>
      <c r="E147" s="2" t="s">
        <v>615</v>
      </c>
      <c r="F147" s="2" t="str">
        <f>IFERROR(VLOOKUP(D147,[3]Bai1_VuotQua!$D$8:$I$143,6,FALSE),"NY")</f>
        <v>done</v>
      </c>
      <c r="G147" s="2" t="str">
        <f>IFERROR(VLOOKUP(D147,[3]Bai2_VuotQua!$D$8:$I$120,6,FALSE),"NY")</f>
        <v>done</v>
      </c>
      <c r="H147" s="2" t="str">
        <f>IFERROR(VLOOKUP(D147,[3]Bai3_VuotQua!$D$8:$I$122,6,FALSE),"NY")</f>
        <v>done</v>
      </c>
      <c r="I147" s="2" t="str">
        <f>IFERROR(VLOOKUP(D147,[3]Bai4_VuotQua!$D$8:$I$117,6,FALSE),"NY")</f>
        <v>done</v>
      </c>
      <c r="J147" s="2" t="str">
        <f t="shared" si="2"/>
        <v>done all</v>
      </c>
      <c r="K147" s="2" t="s">
        <v>27</v>
      </c>
      <c r="L147" s="2" t="s">
        <v>20</v>
      </c>
      <c r="M147" s="2">
        <f>IFERROR(VLOOKUP(D147,[2]Hồng!$D$1:$M$21,10,FALSE),0)</f>
        <v>0</v>
      </c>
    </row>
    <row r="148" spans="1:13" x14ac:dyDescent="0.25">
      <c r="A148" s="2">
        <v>146</v>
      </c>
      <c r="B148" s="2" t="s">
        <v>616</v>
      </c>
      <c r="C148" s="2" t="s">
        <v>617</v>
      </c>
      <c r="D148" s="2" t="s">
        <v>618</v>
      </c>
      <c r="E148" s="2" t="s">
        <v>619</v>
      </c>
      <c r="F148" s="2" t="str">
        <f>IFERROR(VLOOKUP(D148,[3]Bai1_VuotQua!$D$8:$I$143,6,FALSE),"NY")</f>
        <v>done</v>
      </c>
      <c r="G148" s="2" t="str">
        <f>IFERROR(VLOOKUP(D148,[3]Bai2_VuotQua!$D$8:$I$120,6,FALSE),"NY")</f>
        <v>done</v>
      </c>
      <c r="H148" s="2" t="str">
        <f>IFERROR(VLOOKUP(D148,[3]Bai3_VuotQua!$D$8:$I$122,6,FALSE),"NY")</f>
        <v>done</v>
      </c>
      <c r="I148" s="2" t="str">
        <f>IFERROR(VLOOKUP(D148,[3]Bai4_VuotQua!$D$8:$I$117,6,FALSE),"NY")</f>
        <v>done</v>
      </c>
      <c r="J148" s="2" t="str">
        <f t="shared" si="2"/>
        <v>done all</v>
      </c>
      <c r="K148" s="2" t="str">
        <f>VLOOKUP($D148,[1]Bai1_View!$E$2:$J$177,5,FALSE)</f>
        <v>Đăk Lăk</v>
      </c>
      <c r="L148" s="2" t="str">
        <f>VLOOKUP($D148,[1]Bai1_View!$E$2:$J$177,6,FALSE)</f>
        <v>A. Tho</v>
      </c>
      <c r="M148" s="2">
        <f>IFERROR(VLOOKUP(D148,[2]Hồng!$D$1:$M$21,10,FALSE),0)</f>
        <v>0</v>
      </c>
    </row>
    <row r="149" spans="1:13" x14ac:dyDescent="0.25">
      <c r="A149" s="2">
        <v>147</v>
      </c>
      <c r="B149" s="2" t="s">
        <v>620</v>
      </c>
      <c r="C149" s="2" t="s">
        <v>621</v>
      </c>
      <c r="D149" s="2" t="s">
        <v>622</v>
      </c>
      <c r="E149" s="2" t="s">
        <v>623</v>
      </c>
      <c r="F149" s="2" t="str">
        <f>IFERROR(VLOOKUP(D149,[3]Bai1_VuotQua!$D$8:$I$143,6,FALSE),"NY")</f>
        <v>NY</v>
      </c>
      <c r="G149" s="2" t="str">
        <f>IFERROR(VLOOKUP(D149,[3]Bai2_VuotQua!$D$8:$I$120,6,FALSE),"NY")</f>
        <v>NY</v>
      </c>
      <c r="H149" s="2" t="str">
        <f>IFERROR(VLOOKUP(D149,[3]Bai3_VuotQua!$D$8:$I$122,6,FALSE),"NY")</f>
        <v>NY</v>
      </c>
      <c r="I149" s="2" t="str">
        <f>IFERROR(VLOOKUP(D149,[3]Bai4_VuotQua!$D$8:$I$117,6,FALSE),"NY")</f>
        <v>NY</v>
      </c>
      <c r="J149" s="2" t="str">
        <f t="shared" si="2"/>
        <v>NY</v>
      </c>
      <c r="K149" s="2" t="str">
        <f>VLOOKUP($D149,[1]Bai1_View!$E$2:$J$177,5,FALSE)</f>
        <v>An Giang</v>
      </c>
      <c r="L149" s="2" t="str">
        <f>VLOOKUP($D149,[1]Bai1_View!$E$2:$J$177,6,FALSE)</f>
        <v>A. Tho</v>
      </c>
      <c r="M149" s="2">
        <f>IFERROR(VLOOKUP(D149,[2]Hồng!$D$1:$M$21,10,FALSE),0)</f>
        <v>0</v>
      </c>
    </row>
    <row r="150" spans="1:13" x14ac:dyDescent="0.25">
      <c r="A150" s="2">
        <v>148</v>
      </c>
      <c r="B150" s="2" t="s">
        <v>624</v>
      </c>
      <c r="C150" s="2" t="s">
        <v>625</v>
      </c>
      <c r="D150" s="2" t="s">
        <v>626</v>
      </c>
      <c r="E150" s="2" t="s">
        <v>627</v>
      </c>
      <c r="F150" s="2" t="str">
        <f>IFERROR(VLOOKUP(D150,[3]Bai1_VuotQua!$D$8:$I$143,6,FALSE),"NY")</f>
        <v>done</v>
      </c>
      <c r="G150" s="2" t="str">
        <f>IFERROR(VLOOKUP(D150,[3]Bai2_VuotQua!$D$8:$I$120,6,FALSE),"NY")</f>
        <v>done</v>
      </c>
      <c r="H150" s="2" t="str">
        <f>IFERROR(VLOOKUP(D150,[3]Bai3_VuotQua!$D$8:$I$122,6,FALSE),"NY")</f>
        <v>done</v>
      </c>
      <c r="I150" s="2" t="str">
        <f>IFERROR(VLOOKUP(D150,[3]Bai4_VuotQua!$D$8:$I$117,6,FALSE),"NY")</f>
        <v>done</v>
      </c>
      <c r="J150" s="2" t="str">
        <f t="shared" si="2"/>
        <v>done all</v>
      </c>
      <c r="K150" s="2" t="str">
        <f>VLOOKUP($D150,[1]Bai1_View!$E$2:$J$177,5,FALSE)</f>
        <v>Đăk Lăk</v>
      </c>
      <c r="L150" s="2" t="str">
        <f>VLOOKUP($D150,[1]Bai1_View!$E$2:$J$177,6,FALSE)</f>
        <v>A. Tho</v>
      </c>
      <c r="M150" s="2">
        <f>IFERROR(VLOOKUP(D150,[2]Hồng!$D$1:$M$21,10,FALSE),0)</f>
        <v>0</v>
      </c>
    </row>
    <row r="151" spans="1:13" x14ac:dyDescent="0.25">
      <c r="A151" s="2">
        <v>149</v>
      </c>
      <c r="B151" s="2" t="s">
        <v>628</v>
      </c>
      <c r="C151" s="2" t="s">
        <v>629</v>
      </c>
      <c r="D151" s="2" t="s">
        <v>630</v>
      </c>
      <c r="E151" s="2" t="s">
        <v>631</v>
      </c>
      <c r="F151" s="2" t="str">
        <f>IFERROR(VLOOKUP(D151,[3]Bai1_VuotQua!$D$8:$I$143,6,FALSE),"NY")</f>
        <v>done</v>
      </c>
      <c r="G151" s="2" t="str">
        <f>IFERROR(VLOOKUP(D151,[3]Bai2_VuotQua!$D$8:$I$120,6,FALSE),"NY")</f>
        <v>NY</v>
      </c>
      <c r="H151" s="2" t="str">
        <f>IFERROR(VLOOKUP(D151,[3]Bai3_VuotQua!$D$8:$I$122,6,FALSE),"NY")</f>
        <v>NY</v>
      </c>
      <c r="I151" s="2" t="str">
        <f>IFERROR(VLOOKUP(D151,[3]Bai4_VuotQua!$D$8:$I$117,6,FALSE),"NY")</f>
        <v>NY</v>
      </c>
      <c r="J151" s="2" t="str">
        <f t="shared" si="2"/>
        <v>done 1 lession</v>
      </c>
      <c r="K151" s="2" t="str">
        <f>VLOOKUP($D151,[1]Bai1_View!$E$2:$J$177,5,FALSE)</f>
        <v>An Giang</v>
      </c>
      <c r="L151" s="2" t="str">
        <f>VLOOKUP($D151,[1]Bai1_View!$E$2:$J$177,6,FALSE)</f>
        <v>A. Tho</v>
      </c>
      <c r="M151" s="2">
        <f>IFERROR(VLOOKUP(D151,[2]Hồng!$D$1:$M$21,10,FALSE),0)</f>
        <v>0</v>
      </c>
    </row>
    <row r="152" spans="1:13" x14ac:dyDescent="0.25">
      <c r="A152" s="2">
        <v>150</v>
      </c>
      <c r="B152" s="2" t="s">
        <v>632</v>
      </c>
      <c r="C152" s="2" t="s">
        <v>633</v>
      </c>
      <c r="D152" s="2" t="s">
        <v>634</v>
      </c>
      <c r="E152" s="2" t="s">
        <v>635</v>
      </c>
      <c r="F152" s="2" t="str">
        <f>IFERROR(VLOOKUP(D152,[3]Bai1_VuotQua!$D$8:$I$143,6,FALSE),"NY")</f>
        <v>NY</v>
      </c>
      <c r="G152" s="2" t="str">
        <f>IFERROR(VLOOKUP(D152,[3]Bai2_VuotQua!$D$8:$I$120,6,FALSE),"NY")</f>
        <v>NY</v>
      </c>
      <c r="H152" s="2" t="str">
        <f>IFERROR(VLOOKUP(D152,[3]Bai3_VuotQua!$D$8:$I$122,6,FALSE),"NY")</f>
        <v>NY</v>
      </c>
      <c r="I152" s="2" t="str">
        <f>IFERROR(VLOOKUP(D152,[3]Bai4_VuotQua!$D$8:$I$117,6,FALSE),"NY")</f>
        <v>NY</v>
      </c>
      <c r="J152" s="2" t="str">
        <f t="shared" si="2"/>
        <v>NY</v>
      </c>
      <c r="K152" s="2" t="s">
        <v>27</v>
      </c>
      <c r="L152" s="2" t="s">
        <v>20</v>
      </c>
      <c r="M152" s="2">
        <f>IFERROR(VLOOKUP(D152,[2]Hồng!$D$1:$M$21,10,FALSE),0)</f>
        <v>0</v>
      </c>
    </row>
    <row r="153" spans="1:13" x14ac:dyDescent="0.25">
      <c r="A153" s="2">
        <v>151</v>
      </c>
      <c r="B153" s="2" t="s">
        <v>636</v>
      </c>
      <c r="C153" s="2" t="s">
        <v>637</v>
      </c>
      <c r="D153" s="2" t="s">
        <v>638</v>
      </c>
      <c r="E153" s="2" t="s">
        <v>639</v>
      </c>
      <c r="F153" s="2" t="str">
        <f>IFERROR(VLOOKUP(D153,[3]Bai1_VuotQua!$D$8:$I$143,6,FALSE),"NY")</f>
        <v>NY</v>
      </c>
      <c r="G153" s="2" t="str">
        <f>IFERROR(VLOOKUP(D153,[3]Bai2_VuotQua!$D$8:$I$120,6,FALSE),"NY")</f>
        <v>NY</v>
      </c>
      <c r="H153" s="2" t="str">
        <f>IFERROR(VLOOKUP(D153,[3]Bai3_VuotQua!$D$8:$I$122,6,FALSE),"NY")</f>
        <v>NY</v>
      </c>
      <c r="I153" s="2" t="str">
        <f>IFERROR(VLOOKUP(D153,[3]Bai4_VuotQua!$D$8:$I$117,6,FALSE),"NY")</f>
        <v>NY</v>
      </c>
      <c r="J153" s="2" t="str">
        <f t="shared" si="2"/>
        <v>NY</v>
      </c>
      <c r="K153" s="2" t="str">
        <f>VLOOKUP($D153,[1]Bai1_View!$E$2:$J$177,5,FALSE)</f>
        <v>Đăk Lăk</v>
      </c>
      <c r="L153" s="2" t="str">
        <f>VLOOKUP($D153,[1]Bai1_View!$E$2:$J$177,6,FALSE)</f>
        <v>A. Tho</v>
      </c>
      <c r="M153" s="2">
        <f>IFERROR(VLOOKUP(D153,[2]Hồng!$D$1:$M$21,10,FALSE),0)</f>
        <v>0</v>
      </c>
    </row>
    <row r="154" spans="1:13" x14ac:dyDescent="0.25">
      <c r="A154" s="2">
        <v>152</v>
      </c>
      <c r="B154" s="2" t="s">
        <v>640</v>
      </c>
      <c r="C154" s="2" t="s">
        <v>641</v>
      </c>
      <c r="D154" s="2" t="s">
        <v>642</v>
      </c>
      <c r="E154" s="2" t="s">
        <v>643</v>
      </c>
      <c r="F154" s="2" t="str">
        <f>IFERROR(VLOOKUP(D154,[3]Bai1_VuotQua!$D$8:$I$143,6,FALSE),"NY")</f>
        <v>done</v>
      </c>
      <c r="G154" s="2" t="str">
        <f>IFERROR(VLOOKUP(D154,[3]Bai2_VuotQua!$D$8:$I$120,6,FALSE),"NY")</f>
        <v>NY</v>
      </c>
      <c r="H154" s="2" t="str">
        <f>IFERROR(VLOOKUP(D154,[3]Bai3_VuotQua!$D$8:$I$122,6,FALSE),"NY")</f>
        <v>NY</v>
      </c>
      <c r="I154" s="2" t="str">
        <f>IFERROR(VLOOKUP(D154,[3]Bai4_VuotQua!$D$8:$I$117,6,FALSE),"NY")</f>
        <v>NY</v>
      </c>
      <c r="J154" s="2" t="str">
        <f t="shared" si="2"/>
        <v>done 1 lession</v>
      </c>
      <c r="K154" s="2" t="str">
        <f>VLOOKUP($D154,[1]Bai1_View!$E$2:$J$177,5,FALSE)</f>
        <v>Đăk Lăk</v>
      </c>
      <c r="L154" s="2" t="str">
        <f>VLOOKUP($D154,[1]Bai1_View!$E$2:$J$177,6,FALSE)</f>
        <v>A. Tho</v>
      </c>
      <c r="M154" s="2">
        <f>IFERROR(VLOOKUP(D154,[2]Hồng!$D$1:$M$21,10,FALSE),0)</f>
        <v>0</v>
      </c>
    </row>
    <row r="155" spans="1:13" x14ac:dyDescent="0.25">
      <c r="A155" s="2">
        <v>153</v>
      </c>
      <c r="B155" s="2" t="s">
        <v>644</v>
      </c>
      <c r="C155" s="2" t="s">
        <v>645</v>
      </c>
      <c r="D155" s="2" t="s">
        <v>646</v>
      </c>
      <c r="E155" s="2" t="s">
        <v>647</v>
      </c>
      <c r="F155" s="2" t="str">
        <f>IFERROR(VLOOKUP(D155,[3]Bai1_VuotQua!$D$8:$I$143,6,FALSE),"NY")</f>
        <v>NY</v>
      </c>
      <c r="G155" s="2" t="str">
        <f>IFERROR(VLOOKUP(D155,[3]Bai2_VuotQua!$D$8:$I$120,6,FALSE),"NY")</f>
        <v>NY</v>
      </c>
      <c r="H155" s="2" t="str">
        <f>IFERROR(VLOOKUP(D155,[3]Bai3_VuotQua!$D$8:$I$122,6,FALSE),"NY")</f>
        <v>NY</v>
      </c>
      <c r="I155" s="2" t="str">
        <f>IFERROR(VLOOKUP(D155,[3]Bai4_VuotQua!$D$8:$I$117,6,FALSE),"NY")</f>
        <v>NY</v>
      </c>
      <c r="J155" s="2" t="str">
        <f t="shared" si="2"/>
        <v>NY</v>
      </c>
      <c r="K155" s="2" t="str">
        <f>VLOOKUP($D155,[1]Bai1_View!$E$2:$J$177,5,FALSE)</f>
        <v>HN</v>
      </c>
      <c r="L155" s="2" t="str">
        <f>VLOOKUP($D155,[1]Bai1_View!$E$2:$J$177,6,FALSE)</f>
        <v>C. Quy</v>
      </c>
      <c r="M155" s="2">
        <f>IFERROR(VLOOKUP(D155,[2]Hồng!$D$1:$M$21,10,FALSE),0)</f>
        <v>0</v>
      </c>
    </row>
    <row r="156" spans="1:13" x14ac:dyDescent="0.25">
      <c r="A156" s="2">
        <v>154</v>
      </c>
      <c r="B156" s="2" t="s">
        <v>648</v>
      </c>
      <c r="C156" s="2" t="s">
        <v>649</v>
      </c>
      <c r="D156" s="2" t="s">
        <v>650</v>
      </c>
      <c r="E156" s="2" t="s">
        <v>651</v>
      </c>
      <c r="F156" s="2" t="str">
        <f>IFERROR(VLOOKUP(D156,[3]Bai1_VuotQua!$D$8:$I$143,6,FALSE),"NY")</f>
        <v>done</v>
      </c>
      <c r="G156" s="2" t="str">
        <f>IFERROR(VLOOKUP(D156,[3]Bai2_VuotQua!$D$8:$I$120,6,FALSE),"NY")</f>
        <v>NY</v>
      </c>
      <c r="H156" s="2" t="str">
        <f>IFERROR(VLOOKUP(D156,[3]Bai3_VuotQua!$D$8:$I$122,6,FALSE),"NY")</f>
        <v>NY</v>
      </c>
      <c r="I156" s="2" t="str">
        <f>IFERROR(VLOOKUP(D156,[3]Bai4_VuotQua!$D$8:$I$117,6,FALSE),"NY")</f>
        <v>NY</v>
      </c>
      <c r="J156" s="2" t="str">
        <f t="shared" si="2"/>
        <v>done 1 lession</v>
      </c>
      <c r="K156" s="2" t="str">
        <f>VLOOKUP($D156,[1]Bai1_View!$E$2:$J$177,5,FALSE)</f>
        <v>Đồng Nai</v>
      </c>
      <c r="L156" s="2" t="str">
        <f>VLOOKUP($D156,[1]Bai1_View!$E$2:$J$177,6,FALSE)</f>
        <v>A. Tho</v>
      </c>
      <c r="M156" s="2">
        <f>IFERROR(VLOOKUP(D156,[2]Hồng!$D$1:$M$21,10,FALSE),0)</f>
        <v>0</v>
      </c>
    </row>
    <row r="157" spans="1:13" x14ac:dyDescent="0.25">
      <c r="A157" s="2">
        <v>155</v>
      </c>
      <c r="B157" s="2" t="s">
        <v>652</v>
      </c>
      <c r="C157" s="2" t="s">
        <v>653</v>
      </c>
      <c r="D157" s="2" t="s">
        <v>654</v>
      </c>
      <c r="E157" s="2" t="s">
        <v>655</v>
      </c>
      <c r="F157" s="2" t="str">
        <f>IFERROR(VLOOKUP(D157,[3]Bai1_VuotQua!$D$8:$I$143,6,FALSE),"NY")</f>
        <v>NY</v>
      </c>
      <c r="G157" s="2" t="str">
        <f>IFERROR(VLOOKUP(D157,[3]Bai2_VuotQua!$D$8:$I$120,6,FALSE),"NY")</f>
        <v>NY</v>
      </c>
      <c r="H157" s="2" t="str">
        <f>IFERROR(VLOOKUP(D157,[3]Bai3_VuotQua!$D$8:$I$122,6,FALSE),"NY")</f>
        <v>NY</v>
      </c>
      <c r="I157" s="2" t="str">
        <f>IFERROR(VLOOKUP(D157,[3]Bai4_VuotQua!$D$8:$I$117,6,FALSE),"NY")</f>
        <v>NY</v>
      </c>
      <c r="J157" s="2" t="str">
        <f t="shared" si="2"/>
        <v>NY</v>
      </c>
      <c r="K157" s="2" t="str">
        <f>VLOOKUP($D157,[1]Bai1_View!$E$2:$J$177,5,FALSE)</f>
        <v>HCM</v>
      </c>
      <c r="L157" s="2" t="str">
        <f>VLOOKUP($D157,[1]Bai1_View!$E$2:$J$177,6,FALSE)</f>
        <v>A. Tri</v>
      </c>
      <c r="M157" s="2">
        <f>IFERROR(VLOOKUP(D157,[2]Hồng!$D$1:$M$21,10,FALSE),0)</f>
        <v>0</v>
      </c>
    </row>
    <row r="158" spans="1:13" x14ac:dyDescent="0.25">
      <c r="A158" s="2">
        <v>156</v>
      </c>
      <c r="B158" s="2" t="s">
        <v>656</v>
      </c>
      <c r="C158" s="2" t="s">
        <v>657</v>
      </c>
      <c r="D158" s="2" t="s">
        <v>658</v>
      </c>
      <c r="E158" s="2" t="s">
        <v>659</v>
      </c>
      <c r="F158" s="2" t="str">
        <f>IFERROR(VLOOKUP(D158,[3]Bai1_VuotQua!$D$8:$I$143,6,FALSE),"NY")</f>
        <v>done</v>
      </c>
      <c r="G158" s="2" t="str">
        <f>IFERROR(VLOOKUP(D158,[3]Bai2_VuotQua!$D$8:$I$120,6,FALSE),"NY")</f>
        <v>done</v>
      </c>
      <c r="H158" s="2" t="str">
        <f>IFERROR(VLOOKUP(D158,[3]Bai3_VuotQua!$D$8:$I$122,6,FALSE),"NY")</f>
        <v>done</v>
      </c>
      <c r="I158" s="2" t="str">
        <f>IFERROR(VLOOKUP(D158,[3]Bai4_VuotQua!$D$8:$I$117,6,FALSE),"NY")</f>
        <v>NY</v>
      </c>
      <c r="J158" s="2" t="str">
        <f t="shared" si="2"/>
        <v>done 3 lession</v>
      </c>
      <c r="K158" s="2" t="str">
        <f>VLOOKUP($D158,[1]Bai1_View!$E$2:$J$177,5,FALSE)</f>
        <v>Đồng Nai</v>
      </c>
      <c r="L158" s="2" t="str">
        <f>VLOOKUP($D158,[1]Bai1_View!$E$2:$J$177,6,FALSE)</f>
        <v>A. Tho</v>
      </c>
      <c r="M158" s="2">
        <f>IFERROR(VLOOKUP(D158,[2]Hồng!$D$1:$M$21,10,FALSE),0)</f>
        <v>0</v>
      </c>
    </row>
    <row r="159" spans="1:13" x14ac:dyDescent="0.25">
      <c r="A159" s="2">
        <v>157</v>
      </c>
      <c r="B159" s="2" t="s">
        <v>660</v>
      </c>
      <c r="C159" s="2" t="s">
        <v>661</v>
      </c>
      <c r="D159" s="2" t="s">
        <v>662</v>
      </c>
      <c r="E159" s="2" t="s">
        <v>663</v>
      </c>
      <c r="F159" s="2" t="str">
        <f>IFERROR(VLOOKUP(D159,[3]Bai1_VuotQua!$D$8:$I$143,6,FALSE),"NY")</f>
        <v>NY</v>
      </c>
      <c r="G159" s="2" t="str">
        <f>IFERROR(VLOOKUP(D159,[3]Bai2_VuotQua!$D$8:$I$120,6,FALSE),"NY")</f>
        <v>NY</v>
      </c>
      <c r="H159" s="2" t="str">
        <f>IFERROR(VLOOKUP(D159,[3]Bai3_VuotQua!$D$8:$I$122,6,FALSE),"NY")</f>
        <v>done</v>
      </c>
      <c r="I159" s="2" t="str">
        <f>IFERROR(VLOOKUP(D159,[3]Bai4_VuotQua!$D$8:$I$117,6,FALSE),"NY")</f>
        <v>done</v>
      </c>
      <c r="J159" s="2" t="str">
        <f t="shared" si="2"/>
        <v>done 2 lession</v>
      </c>
      <c r="K159" s="2" t="str">
        <f>VLOOKUP($D159,[1]Bai1_View!$E$2:$J$177,5,FALSE)</f>
        <v>HCM</v>
      </c>
      <c r="L159" s="2" t="str">
        <f>VLOOKUP($D159,[1]Bai1_View!$E$2:$J$177,6,FALSE)</f>
        <v>A. Tri</v>
      </c>
      <c r="M159" s="2">
        <f>IFERROR(VLOOKUP(D159,[2]Hồng!$D$1:$M$21,10,FALSE),0)</f>
        <v>0</v>
      </c>
    </row>
    <row r="160" spans="1:13" x14ac:dyDescent="0.25">
      <c r="A160" s="2">
        <v>158</v>
      </c>
      <c r="B160" s="2" t="s">
        <v>664</v>
      </c>
      <c r="C160" s="2" t="s">
        <v>665</v>
      </c>
      <c r="D160" s="2" t="s">
        <v>666</v>
      </c>
      <c r="E160" s="2" t="s">
        <v>667</v>
      </c>
      <c r="F160" s="2" t="str">
        <f>IFERROR(VLOOKUP(D160,[3]Bai1_VuotQua!$D$8:$I$143,6,FALSE),"NY")</f>
        <v>NY</v>
      </c>
      <c r="G160" s="2" t="str">
        <f>IFERROR(VLOOKUP(D160,[3]Bai2_VuotQua!$D$8:$I$120,6,FALSE),"NY")</f>
        <v>NY</v>
      </c>
      <c r="H160" s="2" t="str">
        <f>IFERROR(VLOOKUP(D160,[3]Bai3_VuotQua!$D$8:$I$122,6,FALSE),"NY")</f>
        <v>NY</v>
      </c>
      <c r="I160" s="2" t="str">
        <f>IFERROR(VLOOKUP(D160,[3]Bai4_VuotQua!$D$8:$I$117,6,FALSE),"NY")</f>
        <v>NY</v>
      </c>
      <c r="J160" s="2" t="str">
        <f t="shared" si="2"/>
        <v>NY</v>
      </c>
      <c r="K160" s="2" t="str">
        <f>VLOOKUP($D160,[1]Bai1_View!$E$2:$J$177,5,FALSE)</f>
        <v>An Giang</v>
      </c>
      <c r="L160" s="2" t="str">
        <f>VLOOKUP($D160,[1]Bai1_View!$E$2:$J$177,6,FALSE)</f>
        <v>A. Tho</v>
      </c>
      <c r="M160" s="2">
        <f>IFERROR(VLOOKUP(D160,[2]Hồng!$D$1:$M$21,10,FALSE),0)</f>
        <v>0</v>
      </c>
    </row>
    <row r="161" spans="1:13" x14ac:dyDescent="0.25">
      <c r="A161" s="2">
        <v>159</v>
      </c>
      <c r="B161" s="2" t="s">
        <v>668</v>
      </c>
      <c r="C161" s="2" t="s">
        <v>669</v>
      </c>
      <c r="D161" s="2" t="s">
        <v>670</v>
      </c>
      <c r="E161" s="2" t="s">
        <v>671</v>
      </c>
      <c r="F161" s="2" t="str">
        <f>IFERROR(VLOOKUP(D161,[3]Bai1_VuotQua!$D$8:$I$143,6,FALSE),"NY")</f>
        <v>NY</v>
      </c>
      <c r="G161" s="2" t="str">
        <f>IFERROR(VLOOKUP(D161,[3]Bai2_VuotQua!$D$8:$I$120,6,FALSE),"NY")</f>
        <v>NY</v>
      </c>
      <c r="H161" s="2" t="str">
        <f>IFERROR(VLOOKUP(D161,[3]Bai3_VuotQua!$D$8:$I$122,6,FALSE),"NY")</f>
        <v>NY</v>
      </c>
      <c r="I161" s="2" t="str">
        <f>IFERROR(VLOOKUP(D161,[3]Bai4_VuotQua!$D$8:$I$117,6,FALSE),"NY")</f>
        <v>done</v>
      </c>
      <c r="J161" s="2" t="str">
        <f t="shared" si="2"/>
        <v>done 1 lession</v>
      </c>
      <c r="K161" s="2" t="s">
        <v>27</v>
      </c>
      <c r="L161" s="2" t="s">
        <v>20</v>
      </c>
      <c r="M161" s="2">
        <f>IFERROR(VLOOKUP(D161,[2]Hồng!$D$1:$M$21,10,FALSE),0)</f>
        <v>0</v>
      </c>
    </row>
    <row r="162" spans="1:13" x14ac:dyDescent="0.25">
      <c r="A162" s="2">
        <v>160</v>
      </c>
      <c r="B162" s="2" t="s">
        <v>672</v>
      </c>
      <c r="C162" s="2" t="s">
        <v>673</v>
      </c>
      <c r="D162" s="2" t="s">
        <v>674</v>
      </c>
      <c r="E162" s="2" t="s">
        <v>675</v>
      </c>
      <c r="F162" s="2" t="str">
        <f>IFERROR(VLOOKUP(D162,[3]Bai1_VuotQua!$D$8:$I$143,6,FALSE),"NY")</f>
        <v>done</v>
      </c>
      <c r="G162" s="2" t="str">
        <f>IFERROR(VLOOKUP(D162,[3]Bai2_VuotQua!$D$8:$I$120,6,FALSE),"NY")</f>
        <v>done</v>
      </c>
      <c r="H162" s="2" t="str">
        <f>IFERROR(VLOOKUP(D162,[3]Bai3_VuotQua!$D$8:$I$122,6,FALSE),"NY")</f>
        <v>done</v>
      </c>
      <c r="I162" s="2" t="str">
        <f>IFERROR(VLOOKUP(D162,[3]Bai4_VuotQua!$D$8:$I$117,6,FALSE),"NY")</f>
        <v>done</v>
      </c>
      <c r="J162" s="2" t="str">
        <f t="shared" si="2"/>
        <v>done all</v>
      </c>
      <c r="K162" s="2" t="s">
        <v>27</v>
      </c>
      <c r="L162" s="2" t="s">
        <v>20</v>
      </c>
      <c r="M162" s="2">
        <f>IFERROR(VLOOKUP(D162,[2]Hồng!$D$1:$M$21,10,FALSE),0)</f>
        <v>0</v>
      </c>
    </row>
    <row r="163" spans="1:13" x14ac:dyDescent="0.25">
      <c r="A163" s="2">
        <v>161</v>
      </c>
      <c r="B163" s="2" t="s">
        <v>676</v>
      </c>
      <c r="C163" s="2" t="s">
        <v>677</v>
      </c>
      <c r="D163" s="2" t="s">
        <v>678</v>
      </c>
      <c r="E163" s="2" t="s">
        <v>679</v>
      </c>
      <c r="F163" s="2" t="str">
        <f>IFERROR(VLOOKUP(D163,[3]Bai1_VuotQua!$D$8:$I$143,6,FALSE),"NY")</f>
        <v>NY</v>
      </c>
      <c r="G163" s="2" t="str">
        <f>IFERROR(VLOOKUP(D163,[3]Bai2_VuotQua!$D$8:$I$120,6,FALSE),"NY")</f>
        <v>NY</v>
      </c>
      <c r="H163" s="2" t="str">
        <f>IFERROR(VLOOKUP(D163,[3]Bai3_VuotQua!$D$8:$I$122,6,FALSE),"NY")</f>
        <v>NY</v>
      </c>
      <c r="I163" s="2" t="str">
        <f>IFERROR(VLOOKUP(D163,[3]Bai4_VuotQua!$D$8:$I$117,6,FALSE),"NY")</f>
        <v>NY</v>
      </c>
      <c r="J163" s="2" t="str">
        <f t="shared" si="2"/>
        <v>NY</v>
      </c>
      <c r="K163" s="2" t="s">
        <v>27</v>
      </c>
      <c r="L163" s="2" t="s">
        <v>20</v>
      </c>
      <c r="M163" s="2">
        <f>IFERROR(VLOOKUP(D163,[2]Hồng!$D$1:$M$21,10,FALSE),0)</f>
        <v>0</v>
      </c>
    </row>
    <row r="164" spans="1:13" x14ac:dyDescent="0.25">
      <c r="A164" s="2">
        <v>162</v>
      </c>
      <c r="B164" s="2" t="s">
        <v>680</v>
      </c>
      <c r="C164" s="2" t="s">
        <v>681</v>
      </c>
      <c r="D164" s="2" t="s">
        <v>682</v>
      </c>
      <c r="E164" s="2" t="s">
        <v>683</v>
      </c>
      <c r="F164" s="2" t="str">
        <f>IFERROR(VLOOKUP(D164,[3]Bai1_VuotQua!$D$8:$I$143,6,FALSE),"NY")</f>
        <v>done</v>
      </c>
      <c r="G164" s="2" t="str">
        <f>IFERROR(VLOOKUP(D164,[3]Bai2_VuotQua!$D$8:$I$120,6,FALSE),"NY")</f>
        <v>NY</v>
      </c>
      <c r="H164" s="2" t="str">
        <f>IFERROR(VLOOKUP(D164,[3]Bai3_VuotQua!$D$8:$I$122,6,FALSE),"NY")</f>
        <v>NY</v>
      </c>
      <c r="I164" s="2" t="str">
        <f>IFERROR(VLOOKUP(D164,[3]Bai4_VuotQua!$D$8:$I$117,6,FALSE),"NY")</f>
        <v>NY</v>
      </c>
      <c r="J164" s="2" t="str">
        <f t="shared" si="2"/>
        <v>done 1 lession</v>
      </c>
      <c r="K164" s="2" t="str">
        <f>VLOOKUP($D164,[1]Bai1_View!$E$2:$J$177,5,FALSE)</f>
        <v>HN</v>
      </c>
      <c r="L164" s="2" t="str">
        <f>VLOOKUP($D164,[1]Bai1_View!$E$2:$J$177,6,FALSE)</f>
        <v>C. Quy</v>
      </c>
      <c r="M164" s="2">
        <f>IFERROR(VLOOKUP(D164,[2]Hồng!$D$1:$M$21,10,FALSE),0)</f>
        <v>0</v>
      </c>
    </row>
    <row r="165" spans="1:13" x14ac:dyDescent="0.25">
      <c r="A165" s="2">
        <v>163</v>
      </c>
      <c r="B165" s="2" t="s">
        <v>684</v>
      </c>
      <c r="C165" s="2" t="s">
        <v>685</v>
      </c>
      <c r="D165" s="2" t="s">
        <v>686</v>
      </c>
      <c r="E165" s="2" t="s">
        <v>687</v>
      </c>
      <c r="F165" s="2" t="str">
        <f>IFERROR(VLOOKUP(D165,[3]Bai1_VuotQua!$D$8:$I$143,6,FALSE),"NY")</f>
        <v>done</v>
      </c>
      <c r="G165" s="2" t="str">
        <f>IFERROR(VLOOKUP(D165,[3]Bai2_VuotQua!$D$8:$I$120,6,FALSE),"NY")</f>
        <v>done</v>
      </c>
      <c r="H165" s="2" t="str">
        <f>IFERROR(VLOOKUP(D165,[3]Bai3_VuotQua!$D$8:$I$122,6,FALSE),"NY")</f>
        <v>done</v>
      </c>
      <c r="I165" s="2" t="str">
        <f>IFERROR(VLOOKUP(D165,[3]Bai4_VuotQua!$D$8:$I$117,6,FALSE),"NY")</f>
        <v>done</v>
      </c>
      <c r="J165" s="2" t="str">
        <f t="shared" si="2"/>
        <v>done all</v>
      </c>
      <c r="K165" s="2" t="str">
        <f>VLOOKUP($D165,[1]Bai1_View!$E$2:$J$177,5,FALSE)</f>
        <v>HN</v>
      </c>
      <c r="L165" s="2" t="str">
        <f>VLOOKUP($D165,[1]Bai1_View!$E$2:$J$177,6,FALSE)</f>
        <v>C. Quy</v>
      </c>
      <c r="M165" s="2" t="str">
        <f>IFERROR(VLOOKUP(D165,[2]Hồng!$D$1:$M$21,10,FALSE),0)</f>
        <v>ok</v>
      </c>
    </row>
    <row r="166" spans="1:13" x14ac:dyDescent="0.25">
      <c r="A166" s="2">
        <v>164</v>
      </c>
      <c r="B166" s="2" t="s">
        <v>688</v>
      </c>
      <c r="C166" s="2" t="s">
        <v>689</v>
      </c>
      <c r="D166" s="2" t="s">
        <v>690</v>
      </c>
      <c r="E166" s="2" t="s">
        <v>691</v>
      </c>
      <c r="F166" s="2" t="str">
        <f>IFERROR(VLOOKUP(D166,[3]Bai1_VuotQua!$D$8:$I$143,6,FALSE),"NY")</f>
        <v>done</v>
      </c>
      <c r="G166" s="2" t="str">
        <f>IFERROR(VLOOKUP(D166,[3]Bai2_VuotQua!$D$8:$I$120,6,FALSE),"NY")</f>
        <v>NY</v>
      </c>
      <c r="H166" s="2" t="str">
        <f>IFERROR(VLOOKUP(D166,[3]Bai3_VuotQua!$D$8:$I$122,6,FALSE),"NY")</f>
        <v>NY</v>
      </c>
      <c r="I166" s="2" t="str">
        <f>IFERROR(VLOOKUP(D166,[3]Bai4_VuotQua!$D$8:$I$117,6,FALSE),"NY")</f>
        <v>NY</v>
      </c>
      <c r="J166" s="2" t="str">
        <f t="shared" si="2"/>
        <v>done 1 lession</v>
      </c>
      <c r="K166" s="2" t="str">
        <f>VLOOKUP($D166,[1]Bai1_View!$E$2:$J$177,5,FALSE)</f>
        <v>Đăk Lăk</v>
      </c>
      <c r="L166" s="2" t="str">
        <f>VLOOKUP($D166,[1]Bai1_View!$E$2:$J$177,6,FALSE)</f>
        <v>A. Tho</v>
      </c>
      <c r="M166" s="2">
        <f>IFERROR(VLOOKUP(D166,[2]Hồng!$D$1:$M$21,10,FALSE),0)</f>
        <v>0</v>
      </c>
    </row>
    <row r="167" spans="1:13" x14ac:dyDescent="0.25">
      <c r="A167" s="2">
        <v>165</v>
      </c>
      <c r="B167" s="2" t="s">
        <v>692</v>
      </c>
      <c r="C167" s="2" t="s">
        <v>693</v>
      </c>
      <c r="D167" s="2" t="s">
        <v>694</v>
      </c>
      <c r="E167" s="2" t="s">
        <v>695</v>
      </c>
      <c r="F167" s="2" t="str">
        <f>IFERROR(VLOOKUP(D167,[3]Bai1_VuotQua!$D$8:$I$143,6,FALSE),"NY")</f>
        <v>done</v>
      </c>
      <c r="G167" s="2" t="str">
        <f>IFERROR(VLOOKUP(D167,[3]Bai2_VuotQua!$D$8:$I$120,6,FALSE),"NY")</f>
        <v>NY</v>
      </c>
      <c r="H167" s="2" t="str">
        <f>IFERROR(VLOOKUP(D167,[3]Bai3_VuotQua!$D$8:$I$122,6,FALSE),"NY")</f>
        <v>NY</v>
      </c>
      <c r="I167" s="2" t="str">
        <f>IFERROR(VLOOKUP(D167,[3]Bai4_VuotQua!$D$8:$I$117,6,FALSE),"NY")</f>
        <v>NY</v>
      </c>
      <c r="J167" s="2" t="str">
        <f t="shared" si="2"/>
        <v>done 1 lession</v>
      </c>
      <c r="K167" s="2" t="str">
        <f>VLOOKUP($D167,[1]Bai1_View!$E$2:$J$177,5,FALSE)</f>
        <v>HN</v>
      </c>
      <c r="L167" s="2" t="str">
        <f>VLOOKUP($D167,[1]Bai1_View!$E$2:$J$177,6,FALSE)</f>
        <v>C. Quy</v>
      </c>
      <c r="M167" s="2">
        <f>IFERROR(VLOOKUP(D167,[2]Hồng!$D$1:$M$21,10,FALSE),0)</f>
        <v>0</v>
      </c>
    </row>
    <row r="168" spans="1:13" x14ac:dyDescent="0.25">
      <c r="A168" s="2">
        <v>166</v>
      </c>
      <c r="B168" s="2" t="s">
        <v>696</v>
      </c>
      <c r="C168" s="2" t="s">
        <v>697</v>
      </c>
      <c r="D168" s="2" t="s">
        <v>698</v>
      </c>
      <c r="E168" s="2" t="s">
        <v>699</v>
      </c>
      <c r="F168" s="2" t="str">
        <f>IFERROR(VLOOKUP(D168,[3]Bai1_VuotQua!$D$8:$I$143,6,FALSE),"NY")</f>
        <v>done</v>
      </c>
      <c r="G168" s="2" t="str">
        <f>IFERROR(VLOOKUP(D168,[3]Bai2_VuotQua!$D$8:$I$120,6,FALSE),"NY")</f>
        <v>done</v>
      </c>
      <c r="H168" s="2" t="str">
        <f>IFERROR(VLOOKUP(D168,[3]Bai3_VuotQua!$D$8:$I$122,6,FALSE),"NY")</f>
        <v>done</v>
      </c>
      <c r="I168" s="2" t="str">
        <f>IFERROR(VLOOKUP(D168,[3]Bai4_VuotQua!$D$8:$I$117,6,FALSE),"NY")</f>
        <v>done</v>
      </c>
      <c r="J168" s="2" t="str">
        <f t="shared" si="2"/>
        <v>done all</v>
      </c>
      <c r="K168" s="2" t="str">
        <f>VLOOKUP($D168,[1]Bai1_View!$E$2:$J$177,5,FALSE)</f>
        <v>Cần Thơ</v>
      </c>
      <c r="L168" s="2" t="str">
        <f>VLOOKUP($D168,[1]Bai1_View!$E$2:$J$177,6,FALSE)</f>
        <v>A. Tho</v>
      </c>
      <c r="M168" s="2">
        <f>IFERROR(VLOOKUP(D168,[2]Hồng!$D$1:$M$21,10,FALSE),0)</f>
        <v>0</v>
      </c>
    </row>
    <row r="169" spans="1:13" x14ac:dyDescent="0.25">
      <c r="A169" s="2">
        <v>167</v>
      </c>
      <c r="B169" s="2" t="s">
        <v>700</v>
      </c>
      <c r="C169" s="2" t="s">
        <v>701</v>
      </c>
      <c r="D169" s="2" t="s">
        <v>702</v>
      </c>
      <c r="E169" s="2" t="s">
        <v>703</v>
      </c>
      <c r="F169" s="2" t="str">
        <f>IFERROR(VLOOKUP(D169,[3]Bai1_VuotQua!$D$8:$I$143,6,FALSE),"NY")</f>
        <v>done</v>
      </c>
      <c r="G169" s="2" t="str">
        <f>IFERROR(VLOOKUP(D169,[3]Bai2_VuotQua!$D$8:$I$120,6,FALSE),"NY")</f>
        <v>done</v>
      </c>
      <c r="H169" s="2" t="str">
        <f>IFERROR(VLOOKUP(D169,[3]Bai3_VuotQua!$D$8:$I$122,6,FALSE),"NY")</f>
        <v>done</v>
      </c>
      <c r="I169" s="2" t="str">
        <f>IFERROR(VLOOKUP(D169,[3]Bai4_VuotQua!$D$8:$I$117,6,FALSE),"NY")</f>
        <v>done</v>
      </c>
      <c r="J169" s="2" t="str">
        <f t="shared" si="2"/>
        <v>done all</v>
      </c>
      <c r="K169" s="2" t="str">
        <f>VLOOKUP($D169,[1]Bai1_View!$E$2:$J$177,5,FALSE)</f>
        <v>Đồng Nai</v>
      </c>
      <c r="L169" s="2" t="str">
        <f>VLOOKUP($D169,[1]Bai1_View!$E$2:$J$177,6,FALSE)</f>
        <v>A. Tho</v>
      </c>
      <c r="M169" s="2">
        <f>IFERROR(VLOOKUP(D169,[2]Hồng!$D$1:$M$21,10,FALSE),0)</f>
        <v>0</v>
      </c>
    </row>
    <row r="170" spans="1:13" x14ac:dyDescent="0.25">
      <c r="A170" s="2">
        <v>168</v>
      </c>
      <c r="B170" s="2" t="s">
        <v>704</v>
      </c>
      <c r="C170" s="2" t="s">
        <v>705</v>
      </c>
      <c r="D170" s="2" t="s">
        <v>706</v>
      </c>
      <c r="E170" s="2" t="s">
        <v>707</v>
      </c>
      <c r="F170" s="2" t="str">
        <f>IFERROR(VLOOKUP(D170,[3]Bai1_VuotQua!$D$8:$I$143,6,FALSE),"NY")</f>
        <v>done</v>
      </c>
      <c r="G170" s="2" t="str">
        <f>IFERROR(VLOOKUP(D170,[3]Bai2_VuotQua!$D$8:$I$120,6,FALSE),"NY")</f>
        <v>done</v>
      </c>
      <c r="H170" s="2" t="str">
        <f>IFERROR(VLOOKUP(D170,[3]Bai3_VuotQua!$D$8:$I$122,6,FALSE),"NY")</f>
        <v>NY</v>
      </c>
      <c r="I170" s="2" t="str">
        <f>IFERROR(VLOOKUP(D170,[3]Bai4_VuotQua!$D$8:$I$117,6,FALSE),"NY")</f>
        <v>NY</v>
      </c>
      <c r="J170" s="2" t="str">
        <f t="shared" si="2"/>
        <v>done 2 lession</v>
      </c>
      <c r="K170" s="2" t="str">
        <f>VLOOKUP($D170,[1]Bai1_View!$E$2:$J$177,5,FALSE)</f>
        <v>Đồng Nai</v>
      </c>
      <c r="L170" s="2" t="str">
        <f>VLOOKUP($D170,[1]Bai1_View!$E$2:$J$177,6,FALSE)</f>
        <v>A. Tho</v>
      </c>
      <c r="M170" s="2">
        <f>IFERROR(VLOOKUP(D170,[2]Hồng!$D$1:$M$21,10,FALSE),0)</f>
        <v>0</v>
      </c>
    </row>
    <row r="171" spans="1:13" x14ac:dyDescent="0.25">
      <c r="A171" s="2">
        <v>169</v>
      </c>
      <c r="B171" s="2" t="s">
        <v>708</v>
      </c>
      <c r="C171" s="2" t="s">
        <v>709</v>
      </c>
      <c r="D171" s="2" t="s">
        <v>710</v>
      </c>
      <c r="E171" s="2" t="s">
        <v>711</v>
      </c>
      <c r="F171" s="2" t="str">
        <f>IFERROR(VLOOKUP(D171,[3]Bai1_VuotQua!$D$8:$I$143,6,FALSE),"NY")</f>
        <v>done</v>
      </c>
      <c r="G171" s="2" t="str">
        <f>IFERROR(VLOOKUP(D171,[3]Bai2_VuotQua!$D$8:$I$120,6,FALSE),"NY")</f>
        <v>done</v>
      </c>
      <c r="H171" s="2" t="str">
        <f>IFERROR(VLOOKUP(D171,[3]Bai3_VuotQua!$D$8:$I$122,6,FALSE),"NY")</f>
        <v>NY</v>
      </c>
      <c r="I171" s="2" t="str">
        <f>IFERROR(VLOOKUP(D171,[3]Bai4_VuotQua!$D$8:$I$117,6,FALSE),"NY")</f>
        <v>NY</v>
      </c>
      <c r="J171" s="2" t="str">
        <f t="shared" si="2"/>
        <v>done 2 lession</v>
      </c>
      <c r="K171" s="2" t="str">
        <f>VLOOKUP($D171,[1]Bai1_View!$E$2:$J$177,5,FALSE)</f>
        <v>Cần Thơ</v>
      </c>
      <c r="L171" s="2" t="str">
        <f>VLOOKUP($D171,[1]Bai1_View!$E$2:$J$177,6,FALSE)</f>
        <v>A. Tho</v>
      </c>
      <c r="M171" s="2">
        <f>IFERROR(VLOOKUP(D171,[2]Hồng!$D$1:$M$21,10,FALSE),0)</f>
        <v>0</v>
      </c>
    </row>
    <row r="172" spans="1:13" x14ac:dyDescent="0.25">
      <c r="A172" s="2">
        <v>170</v>
      </c>
      <c r="B172" s="2" t="s">
        <v>712</v>
      </c>
      <c r="C172" s="2" t="s">
        <v>713</v>
      </c>
      <c r="D172" s="2" t="s">
        <v>714</v>
      </c>
      <c r="E172" s="2" t="s">
        <v>715</v>
      </c>
      <c r="F172" s="2" t="str">
        <f>IFERROR(VLOOKUP(D172,[3]Bai1_VuotQua!$D$8:$I$143,6,FALSE),"NY")</f>
        <v>NY</v>
      </c>
      <c r="G172" s="2" t="str">
        <f>IFERROR(VLOOKUP(D172,[3]Bai2_VuotQua!$D$8:$I$120,6,FALSE),"NY")</f>
        <v>NY</v>
      </c>
      <c r="H172" s="2" t="str">
        <f>IFERROR(VLOOKUP(D172,[3]Bai3_VuotQua!$D$8:$I$122,6,FALSE),"NY")</f>
        <v>NY</v>
      </c>
      <c r="I172" s="2" t="str">
        <f>IFERROR(VLOOKUP(D172,[3]Bai4_VuotQua!$D$8:$I$117,6,FALSE),"NY")</f>
        <v>NY</v>
      </c>
      <c r="J172" s="2" t="str">
        <f t="shared" si="2"/>
        <v>NY</v>
      </c>
      <c r="K172" s="2" t="str">
        <f>VLOOKUP($D172,[1]Bai1_View!$E$2:$J$177,5,FALSE)</f>
        <v>HN</v>
      </c>
      <c r="L172" s="2" t="str">
        <f>VLOOKUP($D172,[1]Bai1_View!$E$2:$J$177,6,FALSE)</f>
        <v>C. Quy</v>
      </c>
      <c r="M172" s="2">
        <f>IFERROR(VLOOKUP(D172,[2]Hồng!$D$1:$M$21,10,FALSE),0)</f>
        <v>0</v>
      </c>
    </row>
    <row r="173" spans="1:13" x14ac:dyDescent="0.25">
      <c r="A173" s="2">
        <v>171</v>
      </c>
      <c r="B173" s="2" t="s">
        <v>509</v>
      </c>
      <c r="C173" s="2" t="s">
        <v>510</v>
      </c>
      <c r="D173" s="2" t="s">
        <v>716</v>
      </c>
      <c r="E173" s="2" t="s">
        <v>512</v>
      </c>
      <c r="F173" s="2" t="str">
        <f>IFERROR(VLOOKUP(D173,[3]Bai1_VuotQua!$D$8:$I$143,6,FALSE),"NY")</f>
        <v>done</v>
      </c>
      <c r="G173" s="2" t="str">
        <f>IFERROR(VLOOKUP(D173,[3]Bai2_VuotQua!$D$8:$I$120,6,FALSE),"NY")</f>
        <v>NY</v>
      </c>
      <c r="H173" s="2" t="str">
        <f>IFERROR(VLOOKUP(D173,[3]Bai3_VuotQua!$D$8:$I$122,6,FALSE),"NY")</f>
        <v>NY</v>
      </c>
      <c r="I173" s="2" t="str">
        <f>IFERROR(VLOOKUP(D173,[3]Bai4_VuotQua!$D$8:$I$117,6,FALSE),"NY")</f>
        <v>NY</v>
      </c>
      <c r="J173" s="2" t="str">
        <f t="shared" si="2"/>
        <v>done 1 lession</v>
      </c>
      <c r="K173" s="2" t="str">
        <f>VLOOKUP($D173,[1]Bai1_View!$E$2:$J$177,5,FALSE)</f>
        <v>Khánh Hòa</v>
      </c>
      <c r="L173" s="2" t="str">
        <f>VLOOKUP($D173,[1]Bai1_View!$E$2:$J$177,6,FALSE)</f>
        <v>A. Tho</v>
      </c>
      <c r="M173" s="2">
        <f>IFERROR(VLOOKUP(D173,[2]Hồng!$D$1:$M$21,10,FALSE),0)</f>
        <v>0</v>
      </c>
    </row>
    <row r="174" spans="1:13" x14ac:dyDescent="0.25">
      <c r="A174" s="2">
        <v>172</v>
      </c>
      <c r="B174" s="2" t="s">
        <v>717</v>
      </c>
      <c r="C174" s="2" t="s">
        <v>718</v>
      </c>
      <c r="D174" s="2" t="s">
        <v>719</v>
      </c>
      <c r="E174" s="2" t="s">
        <v>720</v>
      </c>
      <c r="F174" s="2" t="str">
        <f>IFERROR(VLOOKUP(D174,[3]Bai1_VuotQua!$D$8:$I$143,6,FALSE),"NY")</f>
        <v>NY</v>
      </c>
      <c r="G174" s="2" t="str">
        <f>IFERROR(VLOOKUP(D174,[3]Bai2_VuotQua!$D$8:$I$120,6,FALSE),"NY")</f>
        <v>NY</v>
      </c>
      <c r="H174" s="2" t="str">
        <f>IFERROR(VLOOKUP(D174,[3]Bai3_VuotQua!$D$8:$I$122,6,FALSE),"NY")</f>
        <v>NY</v>
      </c>
      <c r="I174" s="2" t="str">
        <f>IFERROR(VLOOKUP(D174,[3]Bai4_VuotQua!$D$8:$I$117,6,FALSE),"NY")</f>
        <v>NY</v>
      </c>
      <c r="J174" s="2" t="str">
        <f t="shared" si="2"/>
        <v>NY</v>
      </c>
      <c r="K174" s="2" t="str">
        <f>VLOOKUP($D174,[1]Bai1_View!$E$2:$J$177,5,FALSE)</f>
        <v>HCM</v>
      </c>
      <c r="L174" s="2" t="str">
        <f>VLOOKUP($D174,[1]Bai1_View!$E$2:$J$177,6,FALSE)</f>
        <v>A. Tri</v>
      </c>
      <c r="M174" s="2">
        <f>IFERROR(VLOOKUP(D174,[2]Hồng!$D$1:$M$21,10,FALSE),0)</f>
        <v>0</v>
      </c>
    </row>
    <row r="175" spans="1:13" x14ac:dyDescent="0.25">
      <c r="A175" s="2">
        <v>173</v>
      </c>
      <c r="B175" s="2" t="s">
        <v>721</v>
      </c>
      <c r="C175" s="2" t="s">
        <v>722</v>
      </c>
      <c r="D175" s="2" t="s">
        <v>723</v>
      </c>
      <c r="E175" s="2" t="s">
        <v>724</v>
      </c>
      <c r="F175" s="2" t="str">
        <f>IFERROR(VLOOKUP(D175,[3]Bai1_VuotQua!$D$8:$I$143,6,FALSE),"NY")</f>
        <v>done</v>
      </c>
      <c r="G175" s="2" t="str">
        <f>IFERROR(VLOOKUP(D175,[3]Bai2_VuotQua!$D$8:$I$120,6,FALSE),"NY")</f>
        <v>NY</v>
      </c>
      <c r="H175" s="2" t="str">
        <f>IFERROR(VLOOKUP(D175,[3]Bai3_VuotQua!$D$8:$I$122,6,FALSE),"NY")</f>
        <v>NY</v>
      </c>
      <c r="I175" s="2" t="str">
        <f>IFERROR(VLOOKUP(D175,[3]Bai4_VuotQua!$D$8:$I$117,6,FALSE),"NY")</f>
        <v>NY</v>
      </c>
      <c r="J175" s="2" t="str">
        <f t="shared" si="2"/>
        <v>done 1 lession</v>
      </c>
      <c r="K175" s="2" t="str">
        <f>VLOOKUP($D175,[1]Bai1_View!$E$2:$J$177,5,FALSE)</f>
        <v>HN</v>
      </c>
      <c r="L175" s="2" t="str">
        <f>VLOOKUP($D175,[1]Bai1_View!$E$2:$J$177,6,FALSE)</f>
        <v>C. Quy</v>
      </c>
      <c r="M175" s="2">
        <f>IFERROR(VLOOKUP(D175,[2]Hồng!$D$1:$M$21,10,FALSE),0)</f>
        <v>0</v>
      </c>
    </row>
    <row r="176" spans="1:13" x14ac:dyDescent="0.25">
      <c r="A176" s="2">
        <v>174</v>
      </c>
      <c r="B176" s="2" t="s">
        <v>725</v>
      </c>
      <c r="C176" s="2" t="s">
        <v>726</v>
      </c>
      <c r="D176" s="2" t="s">
        <v>727</v>
      </c>
      <c r="E176" s="2" t="s">
        <v>728</v>
      </c>
      <c r="F176" s="2" t="str">
        <f>IFERROR(VLOOKUP(D176,[3]Bai1_VuotQua!$D$8:$I$143,6,FALSE),"NY")</f>
        <v>NY</v>
      </c>
      <c r="G176" s="2" t="str">
        <f>IFERROR(VLOOKUP(D176,[3]Bai2_VuotQua!$D$8:$I$120,6,FALSE),"NY")</f>
        <v>NY</v>
      </c>
      <c r="H176" s="2" t="str">
        <f>IFERROR(VLOOKUP(D176,[3]Bai3_VuotQua!$D$8:$I$122,6,FALSE),"NY")</f>
        <v>NY</v>
      </c>
      <c r="I176" s="2" t="str">
        <f>IFERROR(VLOOKUP(D176,[3]Bai4_VuotQua!$D$8:$I$117,6,FALSE),"NY")</f>
        <v>NY</v>
      </c>
      <c r="J176" s="2" t="str">
        <f t="shared" si="2"/>
        <v>NY</v>
      </c>
      <c r="K176" s="2" t="str">
        <f>VLOOKUP($D176,[1]Bai1_View!$E$2:$J$177,5,FALSE)</f>
        <v>HN</v>
      </c>
      <c r="L176" s="2" t="str">
        <f>VLOOKUP($D176,[1]Bai1_View!$E$2:$J$177,6,FALSE)</f>
        <v>C. Quy</v>
      </c>
      <c r="M176" s="2">
        <f>IFERROR(VLOOKUP(D176,[2]Hồng!$D$1:$M$21,10,FALSE),0)</f>
        <v>0</v>
      </c>
    </row>
    <row r="177" spans="1:13" x14ac:dyDescent="0.25">
      <c r="A177" s="2">
        <v>175</v>
      </c>
      <c r="B177" s="2" t="s">
        <v>729</v>
      </c>
      <c r="C177" s="2" t="s">
        <v>730</v>
      </c>
      <c r="D177" s="2" t="s">
        <v>731</v>
      </c>
      <c r="E177" s="2" t="s">
        <v>732</v>
      </c>
      <c r="F177" s="2" t="str">
        <f>IFERROR(VLOOKUP(D177,[3]Bai1_VuotQua!$D$8:$I$143,6,FALSE),"NY")</f>
        <v>NY</v>
      </c>
      <c r="G177" s="2" t="str">
        <f>IFERROR(VLOOKUP(D177,[3]Bai2_VuotQua!$D$8:$I$120,6,FALSE),"NY")</f>
        <v>NY</v>
      </c>
      <c r="H177" s="2" t="str">
        <f>IFERROR(VLOOKUP(D177,[3]Bai3_VuotQua!$D$8:$I$122,6,FALSE),"NY")</f>
        <v>NY</v>
      </c>
      <c r="I177" s="2" t="str">
        <f>IFERROR(VLOOKUP(D177,[3]Bai4_VuotQua!$D$8:$I$117,6,FALSE),"NY")</f>
        <v>NY</v>
      </c>
      <c r="J177" s="2" t="str">
        <f t="shared" si="2"/>
        <v>NY</v>
      </c>
      <c r="K177" s="2" t="str">
        <f>VLOOKUP($D177,[1]Bai1_View!$E$2:$J$177,5,FALSE)</f>
        <v>HCM</v>
      </c>
      <c r="L177" s="2" t="str">
        <f>VLOOKUP($D177,[1]Bai1_View!$E$2:$J$177,6,FALSE)</f>
        <v>A. Tri</v>
      </c>
      <c r="M177" s="2">
        <f>IFERROR(VLOOKUP(D177,[2]Hồng!$D$1:$M$21,10,FALSE),0)</f>
        <v>0</v>
      </c>
    </row>
    <row r="178" spans="1:13" x14ac:dyDescent="0.25">
      <c r="A178" s="2">
        <v>176</v>
      </c>
      <c r="B178" s="2" t="s">
        <v>733</v>
      </c>
      <c r="C178" s="2" t="s">
        <v>734</v>
      </c>
      <c r="D178" s="2" t="s">
        <v>735</v>
      </c>
      <c r="E178" s="2" t="s">
        <v>736</v>
      </c>
      <c r="F178" s="2" t="str">
        <f>IFERROR(VLOOKUP(D178,[3]Bai1_VuotQua!$D$8:$I$143,6,FALSE),"NY")</f>
        <v>NY</v>
      </c>
      <c r="G178" s="2" t="str">
        <f>IFERROR(VLOOKUP(D178,[3]Bai2_VuotQua!$D$8:$I$120,6,FALSE),"NY")</f>
        <v>NY</v>
      </c>
      <c r="H178" s="2" t="str">
        <f>IFERROR(VLOOKUP(D178,[3]Bai3_VuotQua!$D$8:$I$122,6,FALSE),"NY")</f>
        <v>NY</v>
      </c>
      <c r="I178" s="2" t="str">
        <f>IFERROR(VLOOKUP(D178,[3]Bai4_VuotQua!$D$8:$I$117,6,FALSE),"NY")</f>
        <v>NY</v>
      </c>
      <c r="J178" s="2" t="str">
        <f t="shared" si="2"/>
        <v>NY</v>
      </c>
      <c r="K178" s="2" t="str">
        <f>VLOOKUP($D178,[1]Bai1_View!$E$2:$J$177,5,FALSE)</f>
        <v>HCM</v>
      </c>
      <c r="L178" s="2" t="str">
        <f>VLOOKUP($D178,[1]Bai1_View!$E$2:$J$177,6,FALSE)</f>
        <v>A. Tri</v>
      </c>
      <c r="M178" s="2">
        <f>IFERROR(VLOOKUP(D178,[2]Hồng!$D$1:$M$21,10,FALSE),0)</f>
        <v>0</v>
      </c>
    </row>
    <row r="179" spans="1:13" x14ac:dyDescent="0.25">
      <c r="A179" s="2">
        <v>177</v>
      </c>
      <c r="B179" s="2" t="s">
        <v>737</v>
      </c>
      <c r="C179" s="2" t="s">
        <v>738</v>
      </c>
      <c r="D179" s="2" t="s">
        <v>739</v>
      </c>
      <c r="E179" s="2" t="s">
        <v>740</v>
      </c>
      <c r="F179" s="2" t="str">
        <f>IFERROR(VLOOKUP(D179,[3]Bai1_VuotQua!$D$8:$I$143,6,FALSE),"NY")</f>
        <v>done</v>
      </c>
      <c r="G179" s="2" t="str">
        <f>IFERROR(VLOOKUP(D179,[3]Bai2_VuotQua!$D$8:$I$120,6,FALSE),"NY")</f>
        <v>NY</v>
      </c>
      <c r="H179" s="2" t="str">
        <f>IFERROR(VLOOKUP(D179,[3]Bai3_VuotQua!$D$8:$I$122,6,FALSE),"NY")</f>
        <v>NY</v>
      </c>
      <c r="I179" s="2" t="str">
        <f>IFERROR(VLOOKUP(D179,[3]Bai4_VuotQua!$D$8:$I$117,6,FALSE),"NY")</f>
        <v>NY</v>
      </c>
      <c r="J179" s="2" t="str">
        <f t="shared" si="2"/>
        <v>done 1 lession</v>
      </c>
      <c r="K179" s="2" t="str">
        <f>VLOOKUP($D179,[1]Bai1_View!$E$2:$J$177,5,FALSE)</f>
        <v>Đồng Nai</v>
      </c>
      <c r="L179" s="2" t="str">
        <f>VLOOKUP($D179,[1]Bai1_View!$E$2:$J$177,6,FALSE)</f>
        <v>A. Tho</v>
      </c>
      <c r="M179" s="2">
        <f>IFERROR(VLOOKUP(D179,[2]Hồng!$D$1:$M$21,10,FALSE),0)</f>
        <v>0</v>
      </c>
    </row>
    <row r="180" spans="1:13" x14ac:dyDescent="0.25">
      <c r="A180" s="2">
        <v>178</v>
      </c>
      <c r="B180" s="2" t="s">
        <v>741</v>
      </c>
      <c r="C180" s="2" t="s">
        <v>742</v>
      </c>
      <c r="D180" s="2" t="s">
        <v>743</v>
      </c>
      <c r="E180" s="2" t="s">
        <v>744</v>
      </c>
      <c r="F180" s="2" t="str">
        <f>IFERROR(VLOOKUP(D180,[3]Bai1_VuotQua!$D$8:$I$143,6,FALSE),"NY")</f>
        <v>NY</v>
      </c>
      <c r="G180" s="2" t="str">
        <f>IFERROR(VLOOKUP(D180,[3]Bai2_VuotQua!$D$8:$I$120,6,FALSE),"NY")</f>
        <v>NY</v>
      </c>
      <c r="H180" s="2" t="str">
        <f>IFERROR(VLOOKUP(D180,[3]Bai3_VuotQua!$D$8:$I$122,6,FALSE),"NY")</f>
        <v>NY</v>
      </c>
      <c r="I180" s="2" t="str">
        <f>IFERROR(VLOOKUP(D180,[3]Bai4_VuotQua!$D$8:$I$117,6,FALSE),"NY")</f>
        <v>NY</v>
      </c>
      <c r="J180" s="2" t="str">
        <f t="shared" si="2"/>
        <v>NY</v>
      </c>
      <c r="K180" s="2" t="str">
        <f>VLOOKUP($D180,[1]Bai1_View!$E$2:$J$177,5,FALSE)</f>
        <v>Cần Thơ</v>
      </c>
      <c r="L180" s="2" t="str">
        <f>VLOOKUP($D180,[1]Bai1_View!$E$2:$J$177,6,FALSE)</f>
        <v>A. Tho</v>
      </c>
      <c r="M180" s="2">
        <f>IFERROR(VLOOKUP(D180,[2]Hồng!$D$1:$M$21,10,FALSE),0)</f>
        <v>0</v>
      </c>
    </row>
    <row r="181" spans="1:13" x14ac:dyDescent="0.25">
      <c r="A181" s="2">
        <v>179</v>
      </c>
      <c r="B181" s="2" t="s">
        <v>745</v>
      </c>
      <c r="C181" s="2" t="s">
        <v>746</v>
      </c>
      <c r="D181" s="2" t="s">
        <v>747</v>
      </c>
      <c r="E181" s="2" t="s">
        <v>748</v>
      </c>
      <c r="F181" s="2" t="str">
        <f>IFERROR(VLOOKUP(D181,[3]Bai1_VuotQua!$D$8:$I$143,6,FALSE),"NY")</f>
        <v>NY</v>
      </c>
      <c r="G181" s="2" t="str">
        <f>IFERROR(VLOOKUP(D181,[3]Bai2_VuotQua!$D$8:$I$120,6,FALSE),"NY")</f>
        <v>NY</v>
      </c>
      <c r="H181" s="2" t="str">
        <f>IFERROR(VLOOKUP(D181,[3]Bai3_VuotQua!$D$8:$I$122,6,FALSE),"NY")</f>
        <v>NY</v>
      </c>
      <c r="I181" s="2" t="str">
        <f>IFERROR(VLOOKUP(D181,[3]Bai4_VuotQua!$D$8:$I$117,6,FALSE),"NY")</f>
        <v>NY</v>
      </c>
      <c r="J181" s="2" t="str">
        <f t="shared" si="2"/>
        <v>NY</v>
      </c>
      <c r="K181" s="2" t="str">
        <f>VLOOKUP($D181,[1]Bai1_View!$E$2:$J$177,5,FALSE)</f>
        <v>Đăk Lăk</v>
      </c>
      <c r="L181" s="2" t="str">
        <f>VLOOKUP($D181,[1]Bai1_View!$E$2:$J$177,6,FALSE)</f>
        <v>A. Tho</v>
      </c>
      <c r="M181" s="2">
        <f>IFERROR(VLOOKUP(D181,[2]Hồng!$D$1:$M$21,10,FALSE),0)</f>
        <v>0</v>
      </c>
    </row>
    <row r="182" spans="1:13" x14ac:dyDescent="0.25">
      <c r="A182" s="2">
        <v>180</v>
      </c>
      <c r="B182" s="2" t="s">
        <v>749</v>
      </c>
      <c r="C182" s="2" t="s">
        <v>750</v>
      </c>
      <c r="D182" s="2" t="s">
        <v>751</v>
      </c>
      <c r="E182" s="2" t="s">
        <v>752</v>
      </c>
      <c r="F182" s="2" t="str">
        <f>IFERROR(VLOOKUP(D182,[3]Bai1_VuotQua!$D$8:$I$143,6,FALSE),"NY")</f>
        <v>done</v>
      </c>
      <c r="G182" s="2" t="str">
        <f>IFERROR(VLOOKUP(D182,[3]Bai2_VuotQua!$D$8:$I$120,6,FALSE),"NY")</f>
        <v>done</v>
      </c>
      <c r="H182" s="2" t="str">
        <f>IFERROR(VLOOKUP(D182,[3]Bai3_VuotQua!$D$8:$I$122,6,FALSE),"NY")</f>
        <v>done</v>
      </c>
      <c r="I182" s="2" t="str">
        <f>IFERROR(VLOOKUP(D182,[3]Bai4_VuotQua!$D$8:$I$117,6,FALSE),"NY")</f>
        <v>done</v>
      </c>
      <c r="J182" s="2" t="str">
        <f t="shared" si="2"/>
        <v>done all</v>
      </c>
      <c r="K182" s="2" t="str">
        <f>VLOOKUP($D182,[1]Bai1_View!$E$2:$J$177,5,FALSE)</f>
        <v>Khánh Hòa</v>
      </c>
      <c r="L182" s="2" t="str">
        <f>VLOOKUP($D182,[1]Bai1_View!$E$2:$J$177,6,FALSE)</f>
        <v>A. Tho</v>
      </c>
      <c r="M182" s="2">
        <f>IFERROR(VLOOKUP(D182,[2]Hồng!$D$1:$M$21,10,FALSE),0)</f>
        <v>0</v>
      </c>
    </row>
    <row r="183" spans="1:13" x14ac:dyDescent="0.25">
      <c r="A183" s="2">
        <v>181</v>
      </c>
      <c r="B183" s="2" t="s">
        <v>753</v>
      </c>
      <c r="C183" s="2" t="s">
        <v>754</v>
      </c>
      <c r="D183" s="2" t="s">
        <v>755</v>
      </c>
      <c r="E183" s="2" t="s">
        <v>756</v>
      </c>
      <c r="F183" s="2" t="str">
        <f>IFERROR(VLOOKUP(D183,[3]Bai1_VuotQua!$D$8:$I$143,6,FALSE),"NY")</f>
        <v>NY</v>
      </c>
      <c r="G183" s="2" t="str">
        <f>IFERROR(VLOOKUP(D183,[3]Bai2_VuotQua!$D$8:$I$120,6,FALSE),"NY")</f>
        <v>NY</v>
      </c>
      <c r="H183" s="2" t="str">
        <f>IFERROR(VLOOKUP(D183,[3]Bai3_VuotQua!$D$8:$I$122,6,FALSE),"NY")</f>
        <v>NY</v>
      </c>
      <c r="I183" s="2" t="str">
        <f>IFERROR(VLOOKUP(D183,[3]Bai4_VuotQua!$D$8:$I$117,6,FALSE),"NY")</f>
        <v>NY</v>
      </c>
      <c r="J183" s="2" t="str">
        <f t="shared" si="2"/>
        <v>NY</v>
      </c>
      <c r="K183" s="2" t="s">
        <v>125</v>
      </c>
      <c r="L183" s="2" t="s">
        <v>19</v>
      </c>
      <c r="M183" s="2">
        <f>IFERROR(VLOOKUP(D183,[2]Hồng!$D$1:$M$21,10,FALSE),0)</f>
        <v>0</v>
      </c>
    </row>
    <row r="184" spans="1:13" x14ac:dyDescent="0.25">
      <c r="A184" s="2">
        <v>182</v>
      </c>
      <c r="B184" s="2" t="s">
        <v>757</v>
      </c>
      <c r="C184" s="2" t="s">
        <v>757</v>
      </c>
      <c r="D184" s="2" t="s">
        <v>758</v>
      </c>
      <c r="E184" s="2" t="s">
        <v>759</v>
      </c>
      <c r="F184" s="2" t="str">
        <f>IFERROR(VLOOKUP(D184,[3]Bai1_VuotQua!$D$8:$I$143,6,FALSE),"NY")</f>
        <v>NY</v>
      </c>
      <c r="G184" s="2" t="str">
        <f>IFERROR(VLOOKUP(D184,[3]Bai2_VuotQua!$D$8:$I$120,6,FALSE),"NY")</f>
        <v>NY</v>
      </c>
      <c r="H184" s="2" t="str">
        <f>IFERROR(VLOOKUP(D184,[3]Bai3_VuotQua!$D$8:$I$122,6,FALSE),"NY")</f>
        <v>NY</v>
      </c>
      <c r="I184" s="2" t="str">
        <f>IFERROR(VLOOKUP(D184,[3]Bai4_VuotQua!$D$8:$I$117,6,FALSE),"NY")</f>
        <v>NY</v>
      </c>
      <c r="J184" s="2" t="str">
        <f t="shared" si="2"/>
        <v>NY</v>
      </c>
      <c r="K184" s="2" t="str">
        <f>VLOOKUP($D184,[1]Bai1_View!$E$2:$J$177,5,FALSE)</f>
        <v>Cần Thơ</v>
      </c>
      <c r="L184" s="2" t="str">
        <f>VLOOKUP($D184,[1]Bai1_View!$E$2:$J$177,6,FALSE)</f>
        <v>A. Tho</v>
      </c>
      <c r="M184" s="2">
        <f>IFERROR(VLOOKUP(D184,[2]Hồng!$D$1:$M$21,10,FALSE),0)</f>
        <v>0</v>
      </c>
    </row>
    <row r="185" spans="1:13" x14ac:dyDescent="0.25">
      <c r="A185" s="2">
        <v>183</v>
      </c>
      <c r="B185" s="2" t="s">
        <v>760</v>
      </c>
      <c r="C185" s="2" t="s">
        <v>761</v>
      </c>
      <c r="D185" s="2" t="s">
        <v>762</v>
      </c>
      <c r="E185" s="2" t="s">
        <v>763</v>
      </c>
      <c r="F185" s="2" t="str">
        <f>IFERROR(VLOOKUP(D185,[3]Bai1_VuotQua!$D$8:$I$143,6,FALSE),"NY")</f>
        <v>NY</v>
      </c>
      <c r="G185" s="2" t="str">
        <f>IFERROR(VLOOKUP(D185,[3]Bai2_VuotQua!$D$8:$I$120,6,FALSE),"NY")</f>
        <v>NY</v>
      </c>
      <c r="H185" s="2" t="str">
        <f>IFERROR(VLOOKUP(D185,[3]Bai3_VuotQua!$D$8:$I$122,6,FALSE),"NY")</f>
        <v>NY</v>
      </c>
      <c r="I185" s="2" t="str">
        <f>IFERROR(VLOOKUP(D185,[3]Bai4_VuotQua!$D$8:$I$117,6,FALSE),"NY")</f>
        <v>NY</v>
      </c>
      <c r="J185" s="2" t="str">
        <f t="shared" si="2"/>
        <v>NY</v>
      </c>
      <c r="K185" s="2" t="s">
        <v>125</v>
      </c>
      <c r="L185" s="2" t="s">
        <v>19</v>
      </c>
      <c r="M185" s="2">
        <f>IFERROR(VLOOKUP(D185,[2]Hồng!$D$1:$M$21,10,FALSE),0)</f>
        <v>0</v>
      </c>
    </row>
    <row r="186" spans="1:13" x14ac:dyDescent="0.25">
      <c r="A186" s="2">
        <v>184</v>
      </c>
      <c r="B186" s="2" t="s">
        <v>764</v>
      </c>
      <c r="C186" s="2" t="s">
        <v>765</v>
      </c>
      <c r="D186" s="2" t="s">
        <v>766</v>
      </c>
      <c r="E186" s="2" t="s">
        <v>767</v>
      </c>
      <c r="F186" s="2" t="str">
        <f>IFERROR(VLOOKUP(D186,[3]Bai1_VuotQua!$D$8:$I$143,6,FALSE),"NY")</f>
        <v>NY</v>
      </c>
      <c r="G186" s="2" t="str">
        <f>IFERROR(VLOOKUP(D186,[3]Bai2_VuotQua!$D$8:$I$120,6,FALSE),"NY")</f>
        <v>done</v>
      </c>
      <c r="H186" s="2" t="str">
        <f>IFERROR(VLOOKUP(D186,[3]Bai3_VuotQua!$D$8:$I$122,6,FALSE),"NY")</f>
        <v>done</v>
      </c>
      <c r="I186" s="2" t="str">
        <f>IFERROR(VLOOKUP(D186,[3]Bai4_VuotQua!$D$8:$I$117,6,FALSE),"NY")</f>
        <v>done</v>
      </c>
      <c r="J186" s="2" t="str">
        <f t="shared" si="2"/>
        <v>done 3 lession</v>
      </c>
      <c r="K186" s="2" t="str">
        <f>VLOOKUP($D186,[1]Bai1_View!$E$2:$J$177,5,FALSE)</f>
        <v>Đồng Nai</v>
      </c>
      <c r="L186" s="2" t="str">
        <f>VLOOKUP($D186,[1]Bai1_View!$E$2:$J$177,6,FALSE)</f>
        <v>A. Tho</v>
      </c>
      <c r="M186" s="2">
        <f>IFERROR(VLOOKUP(D186,[2]Hồng!$D$1:$M$21,10,FALSE),0)</f>
        <v>0</v>
      </c>
    </row>
    <row r="187" spans="1:13" x14ac:dyDescent="0.25">
      <c r="A187" s="2">
        <v>185</v>
      </c>
      <c r="B187" s="2" t="s">
        <v>768</v>
      </c>
      <c r="C187" s="2" t="s">
        <v>769</v>
      </c>
      <c r="D187" s="2" t="s">
        <v>770</v>
      </c>
      <c r="E187" s="2" t="s">
        <v>771</v>
      </c>
      <c r="F187" s="2" t="str">
        <f>IFERROR(VLOOKUP(D187,[3]Bai1_VuotQua!$D$8:$I$143,6,FALSE),"NY")</f>
        <v>NY</v>
      </c>
      <c r="G187" s="2" t="str">
        <f>IFERROR(VLOOKUP(D187,[3]Bai2_VuotQua!$D$8:$I$120,6,FALSE),"NY")</f>
        <v>NY</v>
      </c>
      <c r="H187" s="2" t="str">
        <f>IFERROR(VLOOKUP(D187,[3]Bai3_VuotQua!$D$8:$I$122,6,FALSE),"NY")</f>
        <v>NY</v>
      </c>
      <c r="I187" s="2" t="str">
        <f>IFERROR(VLOOKUP(D187,[3]Bai4_VuotQua!$D$8:$I$117,6,FALSE),"NY")</f>
        <v>NY</v>
      </c>
      <c r="J187" s="2" t="str">
        <f t="shared" si="2"/>
        <v>NY</v>
      </c>
      <c r="K187" s="2" t="str">
        <f>VLOOKUP($D187,[1]Bai1_View!$E$2:$J$177,5,FALSE)</f>
        <v>Đăk Lăk</v>
      </c>
      <c r="L187" s="2" t="str">
        <f>VLOOKUP($D187,[1]Bai1_View!$E$2:$J$177,6,FALSE)</f>
        <v>A. Tho</v>
      </c>
      <c r="M187" s="2">
        <f>IFERROR(VLOOKUP(D187,[2]Hồng!$D$1:$M$21,10,FALSE),0)</f>
        <v>0</v>
      </c>
    </row>
    <row r="188" spans="1:13" x14ac:dyDescent="0.25">
      <c r="A188" s="2">
        <v>186</v>
      </c>
      <c r="B188" s="2" t="s">
        <v>772</v>
      </c>
      <c r="C188" s="2" t="s">
        <v>773</v>
      </c>
      <c r="D188" s="2" t="s">
        <v>774</v>
      </c>
      <c r="E188" s="2" t="s">
        <v>775</v>
      </c>
      <c r="F188" s="2" t="str">
        <f>IFERROR(VLOOKUP(D188,[3]Bai1_VuotQua!$D$8:$I$143,6,FALSE),"NY")</f>
        <v>done</v>
      </c>
      <c r="G188" s="2" t="str">
        <f>IFERROR(VLOOKUP(D188,[3]Bai2_VuotQua!$D$8:$I$120,6,FALSE),"NY")</f>
        <v>NY</v>
      </c>
      <c r="H188" s="2" t="str">
        <f>IFERROR(VLOOKUP(D188,[3]Bai3_VuotQua!$D$8:$I$122,6,FALSE),"NY")</f>
        <v>NY</v>
      </c>
      <c r="I188" s="2" t="str">
        <f>IFERROR(VLOOKUP(D188,[3]Bai4_VuotQua!$D$8:$I$117,6,FALSE),"NY")</f>
        <v>NY</v>
      </c>
      <c r="J188" s="2" t="str">
        <f t="shared" si="2"/>
        <v>done 1 lession</v>
      </c>
      <c r="K188" s="2" t="str">
        <f>VLOOKUP($D188,[1]Bai1_View!$E$2:$J$177,5,FALSE)</f>
        <v>Khánh Hòa</v>
      </c>
      <c r="L188" s="2" t="str">
        <f>VLOOKUP($D188,[1]Bai1_View!$E$2:$J$177,6,FALSE)</f>
        <v>A. Tho</v>
      </c>
      <c r="M188" s="2">
        <f>IFERROR(VLOOKUP(D188,[2]Hồng!$D$1:$M$21,10,FALSE),0)</f>
        <v>0</v>
      </c>
    </row>
    <row r="189" spans="1:13" x14ac:dyDescent="0.25">
      <c r="A189" s="2">
        <v>187</v>
      </c>
      <c r="B189" s="2" t="s">
        <v>776</v>
      </c>
      <c r="C189" s="2" t="s">
        <v>777</v>
      </c>
      <c r="D189" s="2" t="s">
        <v>778</v>
      </c>
      <c r="E189" s="2" t="s">
        <v>779</v>
      </c>
      <c r="F189" s="2" t="str">
        <f>IFERROR(VLOOKUP(D189,[3]Bai1_VuotQua!$D$8:$I$143,6,FALSE),"NY")</f>
        <v>NY</v>
      </c>
      <c r="G189" s="2" t="str">
        <f>IFERROR(VLOOKUP(D189,[3]Bai2_VuotQua!$D$8:$I$120,6,FALSE),"NY")</f>
        <v>NY</v>
      </c>
      <c r="H189" s="2" t="str">
        <f>IFERROR(VLOOKUP(D189,[3]Bai3_VuotQua!$D$8:$I$122,6,FALSE),"NY")</f>
        <v>NY</v>
      </c>
      <c r="I189" s="2" t="str">
        <f>IFERROR(VLOOKUP(D189,[3]Bai4_VuotQua!$D$8:$I$117,6,FALSE),"NY")</f>
        <v>NY</v>
      </c>
      <c r="J189" s="2" t="str">
        <f t="shared" si="2"/>
        <v>NY</v>
      </c>
      <c r="K189" s="2" t="str">
        <f>VLOOKUP($D189,[1]Bai1_View!$E$2:$J$177,5,FALSE)</f>
        <v>HN</v>
      </c>
      <c r="L189" s="2" t="str">
        <f>VLOOKUP($D189,[1]Bai1_View!$E$2:$J$177,6,FALSE)</f>
        <v>C. Quy</v>
      </c>
      <c r="M189" s="2">
        <f>IFERROR(VLOOKUP(D189,[2]Hồng!$D$1:$M$21,10,FALSE),0)</f>
        <v>0</v>
      </c>
    </row>
    <row r="190" spans="1:13" x14ac:dyDescent="0.25">
      <c r="A190" s="2">
        <v>188</v>
      </c>
      <c r="B190" s="2" t="s">
        <v>780</v>
      </c>
      <c r="C190" s="2" t="s">
        <v>83</v>
      </c>
      <c r="D190" s="2" t="s">
        <v>781</v>
      </c>
      <c r="E190" s="2" t="s">
        <v>85</v>
      </c>
      <c r="F190" s="2" t="str">
        <f>IFERROR(VLOOKUP(D190,[3]Bai1_VuotQua!$D$8:$I$143,6,FALSE),"NY")</f>
        <v>done</v>
      </c>
      <c r="G190" s="2" t="str">
        <f>IFERROR(VLOOKUP(D190,[3]Bai2_VuotQua!$D$8:$I$120,6,FALSE),"NY")</f>
        <v>done</v>
      </c>
      <c r="H190" s="2" t="str">
        <f>IFERROR(VLOOKUP(D190,[3]Bai3_VuotQua!$D$8:$I$122,6,FALSE),"NY")</f>
        <v>NY</v>
      </c>
      <c r="I190" s="2" t="str">
        <f>IFERROR(VLOOKUP(D190,[3]Bai4_VuotQua!$D$8:$I$117,6,FALSE),"NY")</f>
        <v>NY</v>
      </c>
      <c r="J190" s="2" t="str">
        <f t="shared" si="2"/>
        <v>done 2 lession</v>
      </c>
      <c r="K190" s="2" t="s">
        <v>27</v>
      </c>
      <c r="L190" s="2" t="s">
        <v>20</v>
      </c>
      <c r="M190" s="2">
        <f>IFERROR(VLOOKUP(D190,[2]Hồng!$D$1:$M$21,10,FALSE),0)</f>
        <v>0</v>
      </c>
    </row>
    <row r="191" spans="1:13" x14ac:dyDescent="0.25">
      <c r="A191" s="2">
        <v>189</v>
      </c>
      <c r="B191" s="2" t="s">
        <v>782</v>
      </c>
      <c r="C191" s="2" t="s">
        <v>783</v>
      </c>
      <c r="D191" s="2" t="s">
        <v>784</v>
      </c>
      <c r="E191" s="2" t="s">
        <v>615</v>
      </c>
      <c r="F191" s="2" t="str">
        <f>IFERROR(VLOOKUP(D191,[3]Bai1_VuotQua!$D$8:$I$143,6,FALSE),"NY")</f>
        <v>done</v>
      </c>
      <c r="G191" s="2" t="str">
        <f>IFERROR(VLOOKUP(D191,[3]Bai2_VuotQua!$D$8:$I$120,6,FALSE),"NY")</f>
        <v>done</v>
      </c>
      <c r="H191" s="2" t="str">
        <f>IFERROR(VLOOKUP(D191,[3]Bai3_VuotQua!$D$8:$I$122,6,FALSE),"NY")</f>
        <v>done</v>
      </c>
      <c r="I191" s="2" t="str">
        <f>IFERROR(VLOOKUP(D191,[3]Bai4_VuotQua!$D$8:$I$117,6,FALSE),"NY")</f>
        <v>done</v>
      </c>
      <c r="J191" s="2" t="str">
        <f t="shared" si="2"/>
        <v>done all</v>
      </c>
      <c r="K191" s="2" t="s">
        <v>27</v>
      </c>
      <c r="L191" s="2" t="s">
        <v>20</v>
      </c>
      <c r="M191" s="2">
        <f>IFERROR(VLOOKUP(D191,[2]Hồng!$D$1:$M$21,10,FALSE),0)</f>
        <v>0</v>
      </c>
    </row>
    <row r="192" spans="1:13" x14ac:dyDescent="0.25">
      <c r="A192" s="2">
        <v>190</v>
      </c>
      <c r="B192" s="2" t="s">
        <v>785</v>
      </c>
      <c r="C192" s="2" t="s">
        <v>786</v>
      </c>
      <c r="D192" s="2" t="s">
        <v>787</v>
      </c>
      <c r="E192" s="2" t="s">
        <v>788</v>
      </c>
      <c r="F192" s="2" t="str">
        <f>IFERROR(VLOOKUP(D192,[3]Bai1_VuotQua!$D$8:$I$143,6,FALSE),"NY")</f>
        <v>done</v>
      </c>
      <c r="G192" s="2" t="str">
        <f>IFERROR(VLOOKUP(D192,[3]Bai2_VuotQua!$D$8:$I$120,6,FALSE),"NY")</f>
        <v>done</v>
      </c>
      <c r="H192" s="2" t="str">
        <f>IFERROR(VLOOKUP(D192,[3]Bai3_VuotQua!$D$8:$I$122,6,FALSE),"NY")</f>
        <v>done</v>
      </c>
      <c r="I192" s="2" t="str">
        <f>IFERROR(VLOOKUP(D192,[3]Bai4_VuotQua!$D$8:$I$117,6,FALSE),"NY")</f>
        <v>NY</v>
      </c>
      <c r="J192" s="2" t="str">
        <f t="shared" si="2"/>
        <v>done 3 lession</v>
      </c>
      <c r="K192" s="2" t="s">
        <v>27</v>
      </c>
      <c r="L192" s="2" t="s">
        <v>20</v>
      </c>
      <c r="M192" s="2">
        <f>IFERROR(VLOOKUP(D192,[2]Hồng!$D$1:$M$21,10,FALSE),0)</f>
        <v>0</v>
      </c>
    </row>
    <row r="193" spans="1:13" x14ac:dyDescent="0.25">
      <c r="A193" s="2">
        <v>191</v>
      </c>
      <c r="B193" s="2" t="s">
        <v>789</v>
      </c>
      <c r="C193" s="2" t="s">
        <v>790</v>
      </c>
      <c r="D193" s="2" t="s">
        <v>791</v>
      </c>
      <c r="E193" s="2" t="s">
        <v>792</v>
      </c>
      <c r="F193" s="2" t="str">
        <f>IFERROR(VLOOKUP(D193,[3]Bai1_VuotQua!$D$8:$I$143,6,FALSE),"NY")</f>
        <v>NY</v>
      </c>
      <c r="G193" s="2" t="str">
        <f>IFERROR(VLOOKUP(D193,[3]Bai2_VuotQua!$D$8:$I$120,6,FALSE),"NY")</f>
        <v>NY</v>
      </c>
      <c r="H193" s="2" t="str">
        <f>IFERROR(VLOOKUP(D193,[3]Bai3_VuotQua!$D$8:$I$122,6,FALSE),"NY")</f>
        <v>done</v>
      </c>
      <c r="I193" s="2" t="str">
        <f>IFERROR(VLOOKUP(D193,[3]Bai4_VuotQua!$D$8:$I$117,6,FALSE),"NY")</f>
        <v>NY</v>
      </c>
      <c r="J193" s="2" t="str">
        <f t="shared" si="2"/>
        <v>done 1 lession</v>
      </c>
      <c r="K193" s="2" t="s">
        <v>125</v>
      </c>
      <c r="L193" s="2" t="s">
        <v>19</v>
      </c>
      <c r="M193" s="2">
        <f>IFERROR(VLOOKUP(D193,[2]Hồng!$D$1:$M$21,10,FALSE),0)</f>
        <v>0</v>
      </c>
    </row>
    <row r="194" spans="1:13" x14ac:dyDescent="0.25">
      <c r="A194" s="2">
        <v>192</v>
      </c>
      <c r="B194" s="2" t="s">
        <v>793</v>
      </c>
      <c r="C194" s="2" t="s">
        <v>794</v>
      </c>
      <c r="D194" s="2" t="s">
        <v>795</v>
      </c>
      <c r="E194" s="2" t="s">
        <v>796</v>
      </c>
      <c r="F194" s="2" t="str">
        <f>IFERROR(VLOOKUP(D194,[3]Bai1_VuotQua!$D$8:$I$143,6,FALSE),"NY")</f>
        <v>done</v>
      </c>
      <c r="G194" s="2" t="str">
        <f>IFERROR(VLOOKUP(D194,[3]Bai2_VuotQua!$D$8:$I$120,6,FALSE),"NY")</f>
        <v>done</v>
      </c>
      <c r="H194" s="2" t="str">
        <f>IFERROR(VLOOKUP(D194,[3]Bai3_VuotQua!$D$8:$I$122,6,FALSE),"NY")</f>
        <v>done</v>
      </c>
      <c r="I194" s="2" t="str">
        <f>IFERROR(VLOOKUP(D194,[3]Bai4_VuotQua!$D$8:$I$117,6,FALSE),"NY")</f>
        <v>done</v>
      </c>
      <c r="J194" s="2" t="str">
        <f t="shared" si="2"/>
        <v>done all</v>
      </c>
      <c r="K194" s="2" t="s">
        <v>27</v>
      </c>
      <c r="L194" s="2" t="s">
        <v>20</v>
      </c>
      <c r="M194" s="2">
        <f>IFERROR(VLOOKUP(D194,[2]Hồng!$D$1:$M$21,10,FALSE),0)</f>
        <v>0</v>
      </c>
    </row>
    <row r="195" spans="1:13" x14ac:dyDescent="0.25">
      <c r="A195" s="2">
        <v>193</v>
      </c>
      <c r="B195" s="2" t="s">
        <v>797</v>
      </c>
      <c r="C195" s="2" t="s">
        <v>542</v>
      </c>
      <c r="D195" s="2" t="s">
        <v>798</v>
      </c>
      <c r="E195" s="2" t="s">
        <v>133</v>
      </c>
      <c r="F195" s="2" t="str">
        <f>IFERROR(VLOOKUP(D195,[3]Bai1_VuotQua!$D$8:$I$143,6,FALSE),"NY")</f>
        <v>done</v>
      </c>
      <c r="G195" s="2" t="str">
        <f>IFERROR(VLOOKUP(D195,[3]Bai2_VuotQua!$D$8:$I$120,6,FALSE),"NY")</f>
        <v>NY</v>
      </c>
      <c r="H195" s="2" t="str">
        <f>IFERROR(VLOOKUP(D195,[3]Bai3_VuotQua!$D$8:$I$122,6,FALSE),"NY")</f>
        <v>NY</v>
      </c>
      <c r="I195" s="2" t="str">
        <f>IFERROR(VLOOKUP(D195,[3]Bai4_VuotQua!$D$8:$I$117,6,FALSE),"NY")</f>
        <v>NY</v>
      </c>
      <c r="J195" s="2" t="str">
        <f t="shared" si="2"/>
        <v>done 1 lession</v>
      </c>
      <c r="K195" s="2" t="str">
        <f>VLOOKUP($D195,[1]Bai1_View!$E$2:$J$177,5,FALSE)</f>
        <v>HN</v>
      </c>
      <c r="L195" s="2" t="str">
        <f>VLOOKUP($D195,[1]Bai1_View!$E$2:$J$177,6,FALSE)</f>
        <v>C. Quy</v>
      </c>
      <c r="M195" s="2">
        <f>IFERROR(VLOOKUP(D195,[2]Hồng!$D$1:$M$21,10,FALSE),0)</f>
        <v>0</v>
      </c>
    </row>
    <row r="196" spans="1:13" x14ac:dyDescent="0.25">
      <c r="A196" s="2">
        <v>194</v>
      </c>
      <c r="B196" s="2" t="s">
        <v>799</v>
      </c>
      <c r="C196" s="2" t="s">
        <v>800</v>
      </c>
      <c r="D196" s="2" t="s">
        <v>801</v>
      </c>
      <c r="E196" s="2" t="s">
        <v>802</v>
      </c>
      <c r="F196" s="2" t="str">
        <f>IFERROR(VLOOKUP(D196,[3]Bai1_VuotQua!$D$8:$I$143,6,FALSE),"NY")</f>
        <v>done</v>
      </c>
      <c r="G196" s="2" t="str">
        <f>IFERROR(VLOOKUP(D196,[3]Bai2_VuotQua!$D$8:$I$120,6,FALSE),"NY")</f>
        <v>NY</v>
      </c>
      <c r="H196" s="2" t="str">
        <f>IFERROR(VLOOKUP(D196,[3]Bai3_VuotQua!$D$8:$I$122,6,FALSE),"NY")</f>
        <v>NY</v>
      </c>
      <c r="I196" s="2" t="str">
        <f>IFERROR(VLOOKUP(D196,[3]Bai4_VuotQua!$D$8:$I$117,6,FALSE),"NY")</f>
        <v>done</v>
      </c>
      <c r="J196" s="2" t="str">
        <f t="shared" ref="J196:J259" si="3">IF(AND(F196="done",G196="done",H196="done",I196="done"),"done all",IF(OR(AND(F196="done",G196="done",H196="done"),AND(F196="done",G196="done",I196="done"),AND(F196="done",H196="done",I196="done"),AND(G196="done",H196="done",I196="done")),"done 3 lession",IF(OR(AND(F196="done",G196="done"),AND(F196="done",H196="done"),AND(F196="done",I196="done"),AND(G196="done",H196="done"),AND(G196="done",I196="done"),AND(H196="done",I196="done")),"done 2 lession",IF(OR(F196="done",G196="done",H196="done",I196="done"),"done 1 lession","NY"))))</f>
        <v>done 2 lession</v>
      </c>
      <c r="K196" s="2" t="s">
        <v>27</v>
      </c>
      <c r="L196" s="2" t="s">
        <v>20</v>
      </c>
      <c r="M196" s="2">
        <f>IFERROR(VLOOKUP(D196,[2]Hồng!$D$1:$M$21,10,FALSE),0)</f>
        <v>0</v>
      </c>
    </row>
    <row r="197" spans="1:13" x14ac:dyDescent="0.25">
      <c r="A197" s="2">
        <v>195</v>
      </c>
      <c r="B197" s="2" t="s">
        <v>803</v>
      </c>
      <c r="C197" s="2" t="s">
        <v>804</v>
      </c>
      <c r="D197" s="2" t="s">
        <v>805</v>
      </c>
      <c r="E197" s="2" t="s">
        <v>806</v>
      </c>
      <c r="F197" s="2" t="str">
        <f>IFERROR(VLOOKUP(D197,[3]Bai1_VuotQua!$D$8:$I$143,6,FALSE),"NY")</f>
        <v>done</v>
      </c>
      <c r="G197" s="2" t="str">
        <f>IFERROR(VLOOKUP(D197,[3]Bai2_VuotQua!$D$8:$I$120,6,FALSE),"NY")</f>
        <v>done</v>
      </c>
      <c r="H197" s="2" t="str">
        <f>IFERROR(VLOOKUP(D197,[3]Bai3_VuotQua!$D$8:$I$122,6,FALSE),"NY")</f>
        <v>done</v>
      </c>
      <c r="I197" s="2" t="str">
        <f>IFERROR(VLOOKUP(D197,[3]Bai4_VuotQua!$D$8:$I$117,6,FALSE),"NY")</f>
        <v>done</v>
      </c>
      <c r="J197" s="2" t="str">
        <f t="shared" si="3"/>
        <v>done all</v>
      </c>
      <c r="K197" s="2" t="s">
        <v>27</v>
      </c>
      <c r="L197" s="2" t="s">
        <v>20</v>
      </c>
      <c r="M197" s="2">
        <f>IFERROR(VLOOKUP(D197,[2]Hồng!$D$1:$M$21,10,FALSE),0)</f>
        <v>0</v>
      </c>
    </row>
    <row r="198" spans="1:13" x14ac:dyDescent="0.25">
      <c r="A198" s="2">
        <v>196</v>
      </c>
      <c r="B198" s="2" t="s">
        <v>807</v>
      </c>
      <c r="C198" s="2" t="s">
        <v>808</v>
      </c>
      <c r="D198" s="2" t="s">
        <v>809</v>
      </c>
      <c r="E198" s="2" t="s">
        <v>810</v>
      </c>
      <c r="F198" s="2" t="str">
        <f>IFERROR(VLOOKUP(D198,[3]Bai1_VuotQua!$D$8:$I$143,6,FALSE),"NY")</f>
        <v>done</v>
      </c>
      <c r="G198" s="2" t="str">
        <f>IFERROR(VLOOKUP(D198,[3]Bai2_VuotQua!$D$8:$I$120,6,FALSE),"NY")</f>
        <v>NY</v>
      </c>
      <c r="H198" s="2" t="str">
        <f>IFERROR(VLOOKUP(D198,[3]Bai3_VuotQua!$D$8:$I$122,6,FALSE),"NY")</f>
        <v>done</v>
      </c>
      <c r="I198" s="2" t="str">
        <f>IFERROR(VLOOKUP(D198,[3]Bai4_VuotQua!$D$8:$I$117,6,FALSE),"NY")</f>
        <v>done</v>
      </c>
      <c r="J198" s="2" t="str">
        <f t="shared" si="3"/>
        <v>done 3 lession</v>
      </c>
      <c r="K198" s="2" t="str">
        <f>VLOOKUP($D198,[1]Bai1_View!$E$2:$J$177,5,FALSE)</f>
        <v>Đồng Nai</v>
      </c>
      <c r="L198" s="2" t="str">
        <f>VLOOKUP($D198,[1]Bai1_View!$E$2:$J$177,6,FALSE)</f>
        <v>A. Tho</v>
      </c>
      <c r="M198" s="2">
        <f>IFERROR(VLOOKUP(D198,[2]Hồng!$D$1:$M$21,10,FALSE),0)</f>
        <v>0</v>
      </c>
    </row>
    <row r="199" spans="1:13" x14ac:dyDescent="0.25">
      <c r="A199" s="2">
        <v>197</v>
      </c>
      <c r="B199" s="2" t="s">
        <v>811</v>
      </c>
      <c r="C199" s="2" t="s">
        <v>812</v>
      </c>
      <c r="D199" s="2" t="s">
        <v>813</v>
      </c>
      <c r="E199" s="2" t="s">
        <v>814</v>
      </c>
      <c r="F199" s="2" t="str">
        <f>IFERROR(VLOOKUP(D199,[3]Bai1_VuotQua!$D$8:$I$143,6,FALSE),"NY")</f>
        <v>done</v>
      </c>
      <c r="G199" s="2" t="str">
        <f>IFERROR(VLOOKUP(D199,[3]Bai2_VuotQua!$D$8:$I$120,6,FALSE),"NY")</f>
        <v>done</v>
      </c>
      <c r="H199" s="2" t="str">
        <f>IFERROR(VLOOKUP(D199,[3]Bai3_VuotQua!$D$8:$I$122,6,FALSE),"NY")</f>
        <v>done</v>
      </c>
      <c r="I199" s="2" t="str">
        <f>IFERROR(VLOOKUP(D199,[3]Bai4_VuotQua!$D$8:$I$117,6,FALSE),"NY")</f>
        <v>done</v>
      </c>
      <c r="J199" s="2" t="str">
        <f t="shared" si="3"/>
        <v>done all</v>
      </c>
      <c r="K199" s="2" t="str">
        <f>VLOOKUP($D199,[1]Bai1_View!$E$2:$J$177,5,FALSE)</f>
        <v>Cần Thơ</v>
      </c>
      <c r="L199" s="2" t="str">
        <f>VLOOKUP($D199,[1]Bai1_View!$E$2:$J$177,6,FALSE)</f>
        <v>A. Tho</v>
      </c>
      <c r="M199" s="2">
        <f>IFERROR(VLOOKUP(D199,[2]Hồng!$D$1:$M$21,10,FALSE),0)</f>
        <v>0</v>
      </c>
    </row>
    <row r="200" spans="1:13" x14ac:dyDescent="0.25">
      <c r="A200" s="2">
        <v>198</v>
      </c>
      <c r="B200" s="2" t="s">
        <v>815</v>
      </c>
      <c r="C200" s="2" t="s">
        <v>816</v>
      </c>
      <c r="D200" s="2" t="s">
        <v>817</v>
      </c>
      <c r="E200" s="2" t="s">
        <v>818</v>
      </c>
      <c r="F200" s="2" t="str">
        <f>IFERROR(VLOOKUP(D200,[3]Bai1_VuotQua!$D$8:$I$143,6,FALSE),"NY")</f>
        <v>NY</v>
      </c>
      <c r="G200" s="2" t="str">
        <f>IFERROR(VLOOKUP(D200,[3]Bai2_VuotQua!$D$8:$I$120,6,FALSE),"NY")</f>
        <v>done</v>
      </c>
      <c r="H200" s="2" t="str">
        <f>IFERROR(VLOOKUP(D200,[3]Bai3_VuotQua!$D$8:$I$122,6,FALSE),"NY")</f>
        <v>NY</v>
      </c>
      <c r="I200" s="2" t="str">
        <f>IFERROR(VLOOKUP(D200,[3]Bai4_VuotQua!$D$8:$I$117,6,FALSE),"NY")</f>
        <v>NY</v>
      </c>
      <c r="J200" s="2" t="str">
        <f t="shared" si="3"/>
        <v>done 1 lession</v>
      </c>
      <c r="K200" s="2" t="s">
        <v>27</v>
      </c>
      <c r="L200" s="2" t="s">
        <v>20</v>
      </c>
      <c r="M200" s="2">
        <f>IFERROR(VLOOKUP(D200,[2]Hồng!$D$1:$M$21,10,FALSE),0)</f>
        <v>0</v>
      </c>
    </row>
    <row r="201" spans="1:13" x14ac:dyDescent="0.25">
      <c r="A201" s="2">
        <v>199</v>
      </c>
      <c r="B201" s="2" t="s">
        <v>819</v>
      </c>
      <c r="C201" s="2" t="s">
        <v>820</v>
      </c>
      <c r="D201" s="2" t="s">
        <v>821</v>
      </c>
      <c r="E201" s="2" t="s">
        <v>822</v>
      </c>
      <c r="F201" s="2" t="str">
        <f>IFERROR(VLOOKUP(D201,[3]Bai1_VuotQua!$D$8:$I$143,6,FALSE),"NY")</f>
        <v>done</v>
      </c>
      <c r="G201" s="2" t="str">
        <f>IFERROR(VLOOKUP(D201,[3]Bai2_VuotQua!$D$8:$I$120,6,FALSE),"NY")</f>
        <v>NY</v>
      </c>
      <c r="H201" s="2" t="str">
        <f>IFERROR(VLOOKUP(D201,[3]Bai3_VuotQua!$D$8:$I$122,6,FALSE),"NY")</f>
        <v>NY</v>
      </c>
      <c r="I201" s="2" t="str">
        <f>IFERROR(VLOOKUP(D201,[3]Bai4_VuotQua!$D$8:$I$117,6,FALSE),"NY")</f>
        <v>done</v>
      </c>
      <c r="J201" s="2" t="str">
        <f t="shared" si="3"/>
        <v>done 2 lession</v>
      </c>
      <c r="K201" s="2" t="str">
        <f>VLOOKUP($D201,[1]Bai1_View!$E$2:$J$177,5,FALSE)</f>
        <v>Đồng Nai</v>
      </c>
      <c r="L201" s="2" t="str">
        <f>VLOOKUP($D201,[1]Bai1_View!$E$2:$J$177,6,FALSE)</f>
        <v>A. Tho</v>
      </c>
      <c r="M201" s="2">
        <f>IFERROR(VLOOKUP(D201,[2]Hồng!$D$1:$M$21,10,FALSE),0)</f>
        <v>0</v>
      </c>
    </row>
    <row r="202" spans="1:13" x14ac:dyDescent="0.25">
      <c r="A202" s="2">
        <v>200</v>
      </c>
      <c r="B202" s="2" t="s">
        <v>823</v>
      </c>
      <c r="C202" s="2" t="s">
        <v>824</v>
      </c>
      <c r="D202" s="2" t="s">
        <v>825</v>
      </c>
      <c r="E202" s="2" t="s">
        <v>826</v>
      </c>
      <c r="F202" s="2" t="str">
        <f>IFERROR(VLOOKUP(D202,[3]Bai1_VuotQua!$D$8:$I$143,6,FALSE),"NY")</f>
        <v>NY</v>
      </c>
      <c r="G202" s="2" t="str">
        <f>IFERROR(VLOOKUP(D202,[3]Bai2_VuotQua!$D$8:$I$120,6,FALSE),"NY")</f>
        <v>NY</v>
      </c>
      <c r="H202" s="2" t="str">
        <f>IFERROR(VLOOKUP(D202,[3]Bai3_VuotQua!$D$8:$I$122,6,FALSE),"NY")</f>
        <v>NY</v>
      </c>
      <c r="I202" s="2" t="str">
        <f>IFERROR(VLOOKUP(D202,[3]Bai4_VuotQua!$D$8:$I$117,6,FALSE),"NY")</f>
        <v>NY</v>
      </c>
      <c r="J202" s="2" t="str">
        <f t="shared" si="3"/>
        <v>NY</v>
      </c>
      <c r="K202" s="2" t="str">
        <f>VLOOKUP($D202,[1]Bai1_View!$E$2:$J$177,5,FALSE)</f>
        <v>HCM</v>
      </c>
      <c r="L202" s="2" t="str">
        <f>VLOOKUP($D202,[1]Bai1_View!$E$2:$J$177,6,FALSE)</f>
        <v>A. Tri</v>
      </c>
      <c r="M202" s="2">
        <f>IFERROR(VLOOKUP(D202,[2]Hồng!$D$1:$M$21,10,FALSE),0)</f>
        <v>0</v>
      </c>
    </row>
    <row r="203" spans="1:13" x14ac:dyDescent="0.25">
      <c r="A203" s="2">
        <v>201</v>
      </c>
      <c r="B203" s="2" t="s">
        <v>827</v>
      </c>
      <c r="C203" s="2" t="s">
        <v>828</v>
      </c>
      <c r="D203" s="2" t="s">
        <v>829</v>
      </c>
      <c r="E203" s="2" t="s">
        <v>830</v>
      </c>
      <c r="F203" s="2" t="str">
        <f>IFERROR(VLOOKUP(D203,[3]Bai1_VuotQua!$D$8:$I$143,6,FALSE),"NY")</f>
        <v>done</v>
      </c>
      <c r="G203" s="2" t="str">
        <f>IFERROR(VLOOKUP(D203,[3]Bai2_VuotQua!$D$8:$I$120,6,FALSE),"NY")</f>
        <v>NY</v>
      </c>
      <c r="H203" s="2" t="str">
        <f>IFERROR(VLOOKUP(D203,[3]Bai3_VuotQua!$D$8:$I$122,6,FALSE),"NY")</f>
        <v>NY</v>
      </c>
      <c r="I203" s="2" t="str">
        <f>IFERROR(VLOOKUP(D203,[3]Bai4_VuotQua!$D$8:$I$117,6,FALSE),"NY")</f>
        <v>NY</v>
      </c>
      <c r="J203" s="2" t="str">
        <f t="shared" si="3"/>
        <v>done 1 lession</v>
      </c>
      <c r="K203" s="2" t="str">
        <f>VLOOKUP($D203,[1]Bai1_View!$E$2:$J$177,5,FALSE)</f>
        <v>HCM</v>
      </c>
      <c r="L203" s="2" t="str">
        <f>VLOOKUP($D203,[1]Bai1_View!$E$2:$J$177,6,FALSE)</f>
        <v>A. Tri</v>
      </c>
      <c r="M203" s="2">
        <f>IFERROR(VLOOKUP(D203,[2]Hồng!$D$1:$M$21,10,FALSE),0)</f>
        <v>0</v>
      </c>
    </row>
    <row r="204" spans="1:13" x14ac:dyDescent="0.25">
      <c r="A204" s="2">
        <v>202</v>
      </c>
      <c r="B204" s="2" t="s">
        <v>831</v>
      </c>
      <c r="C204" s="2" t="s">
        <v>832</v>
      </c>
      <c r="D204" s="2" t="s">
        <v>833</v>
      </c>
      <c r="E204" s="2" t="s">
        <v>834</v>
      </c>
      <c r="F204" s="2" t="str">
        <f>IFERROR(VLOOKUP(D204,[3]Bai1_VuotQua!$D$8:$I$143,6,FALSE),"NY")</f>
        <v>NY</v>
      </c>
      <c r="G204" s="2" t="str">
        <f>IFERROR(VLOOKUP(D204,[3]Bai2_VuotQua!$D$8:$I$120,6,FALSE),"NY")</f>
        <v>NY</v>
      </c>
      <c r="H204" s="2" t="str">
        <f>IFERROR(VLOOKUP(D204,[3]Bai3_VuotQua!$D$8:$I$122,6,FALSE),"NY")</f>
        <v>NY</v>
      </c>
      <c r="I204" s="2" t="str">
        <f>IFERROR(VLOOKUP(D204,[3]Bai4_VuotQua!$D$8:$I$117,6,FALSE),"NY")</f>
        <v>NY</v>
      </c>
      <c r="J204" s="2" t="str">
        <f t="shared" si="3"/>
        <v>NY</v>
      </c>
      <c r="K204" s="2" t="str">
        <f>VLOOKUP($D204,[1]Bai1_View!$E$2:$J$177,5,FALSE)</f>
        <v>HCM</v>
      </c>
      <c r="L204" s="2" t="str">
        <f>VLOOKUP($D204,[1]Bai1_View!$E$2:$J$177,6,FALSE)</f>
        <v>A. Tri</v>
      </c>
      <c r="M204" s="2">
        <f>IFERROR(VLOOKUP(D204,[2]Hồng!$D$1:$M$21,10,FALSE),0)</f>
        <v>0</v>
      </c>
    </row>
    <row r="205" spans="1:13" x14ac:dyDescent="0.25">
      <c r="A205" s="2">
        <v>203</v>
      </c>
      <c r="B205" s="2" t="s">
        <v>835</v>
      </c>
      <c r="C205" s="2" t="s">
        <v>836</v>
      </c>
      <c r="D205" s="2" t="s">
        <v>837</v>
      </c>
      <c r="E205" s="2" t="s">
        <v>838</v>
      </c>
      <c r="F205" s="2" t="str">
        <f>IFERROR(VLOOKUP(D205,[3]Bai1_VuotQua!$D$8:$I$143,6,FALSE),"NY")</f>
        <v>done</v>
      </c>
      <c r="G205" s="2" t="str">
        <f>IFERROR(VLOOKUP(D205,[3]Bai2_VuotQua!$D$8:$I$120,6,FALSE),"NY")</f>
        <v>done</v>
      </c>
      <c r="H205" s="2" t="str">
        <f>IFERROR(VLOOKUP(D205,[3]Bai3_VuotQua!$D$8:$I$122,6,FALSE),"NY")</f>
        <v>done</v>
      </c>
      <c r="I205" s="2" t="str">
        <f>IFERROR(VLOOKUP(D205,[3]Bai4_VuotQua!$D$8:$I$117,6,FALSE),"NY")</f>
        <v>done</v>
      </c>
      <c r="J205" s="2" t="str">
        <f t="shared" si="3"/>
        <v>done all</v>
      </c>
      <c r="K205" s="2" t="str">
        <f>VLOOKUP($D205,[1]Bai1_View!$E$2:$J$177,5,FALSE)</f>
        <v>Đồng Nai</v>
      </c>
      <c r="L205" s="2" t="str">
        <f>VLOOKUP($D205,[1]Bai1_View!$E$2:$J$177,6,FALSE)</f>
        <v>A. Tho</v>
      </c>
      <c r="M205" s="2">
        <f>IFERROR(VLOOKUP(D205,[2]Hồng!$D$1:$M$21,10,FALSE),0)</f>
        <v>0</v>
      </c>
    </row>
    <row r="206" spans="1:13" x14ac:dyDescent="0.25">
      <c r="A206" s="2">
        <v>204</v>
      </c>
      <c r="B206" s="2" t="s">
        <v>839</v>
      </c>
      <c r="C206" s="2" t="s">
        <v>840</v>
      </c>
      <c r="D206" s="2" t="s">
        <v>841</v>
      </c>
      <c r="E206" s="2" t="s">
        <v>842</v>
      </c>
      <c r="F206" s="2" t="str">
        <f>IFERROR(VLOOKUP(D206,[3]Bai1_VuotQua!$D$8:$I$143,6,FALSE),"NY")</f>
        <v>NY</v>
      </c>
      <c r="G206" s="2" t="str">
        <f>IFERROR(VLOOKUP(D206,[3]Bai2_VuotQua!$D$8:$I$120,6,FALSE),"NY")</f>
        <v>NY</v>
      </c>
      <c r="H206" s="2" t="str">
        <f>IFERROR(VLOOKUP(D206,[3]Bai3_VuotQua!$D$8:$I$122,6,FALSE),"NY")</f>
        <v>NY</v>
      </c>
      <c r="I206" s="2" t="str">
        <f>IFERROR(VLOOKUP(D206,[3]Bai4_VuotQua!$D$8:$I$117,6,FALSE),"NY")</f>
        <v>NY</v>
      </c>
      <c r="J206" s="2" t="str">
        <f t="shared" si="3"/>
        <v>NY</v>
      </c>
      <c r="K206" s="2" t="str">
        <f>VLOOKUP($D206,[1]Bai1_View!$E$2:$J$177,5,FALSE)</f>
        <v>HCM</v>
      </c>
      <c r="L206" s="2" t="str">
        <f>VLOOKUP($D206,[1]Bai1_View!$E$2:$J$177,6,FALSE)</f>
        <v>A. Tri</v>
      </c>
      <c r="M206" s="2">
        <f>IFERROR(VLOOKUP(D206,[2]Hồng!$D$1:$M$21,10,FALSE),0)</f>
        <v>0</v>
      </c>
    </row>
    <row r="207" spans="1:13" x14ac:dyDescent="0.25">
      <c r="A207" s="2">
        <v>205</v>
      </c>
      <c r="B207" s="2" t="s">
        <v>843</v>
      </c>
      <c r="C207" s="2" t="s">
        <v>844</v>
      </c>
      <c r="D207" s="2" t="s">
        <v>845</v>
      </c>
      <c r="E207" s="2" t="s">
        <v>846</v>
      </c>
      <c r="F207" s="2" t="str">
        <f>IFERROR(VLOOKUP(D207,[3]Bai1_VuotQua!$D$8:$I$143,6,FALSE),"NY")</f>
        <v>done</v>
      </c>
      <c r="G207" s="2" t="str">
        <f>IFERROR(VLOOKUP(D207,[3]Bai2_VuotQua!$D$8:$I$120,6,FALSE),"NY")</f>
        <v>NY</v>
      </c>
      <c r="H207" s="2" t="str">
        <f>IFERROR(VLOOKUP(D207,[3]Bai3_VuotQua!$D$8:$I$122,6,FALSE),"NY")</f>
        <v>NY</v>
      </c>
      <c r="I207" s="2" t="str">
        <f>IFERROR(VLOOKUP(D207,[3]Bai4_VuotQua!$D$8:$I$117,6,FALSE),"NY")</f>
        <v>NY</v>
      </c>
      <c r="J207" s="2" t="str">
        <f t="shared" si="3"/>
        <v>done 1 lession</v>
      </c>
      <c r="K207" s="2" t="s">
        <v>125</v>
      </c>
      <c r="L207" s="2" t="s">
        <v>19</v>
      </c>
      <c r="M207" s="2">
        <f>IFERROR(VLOOKUP(D207,[2]Hồng!$D$1:$M$21,10,FALSE),0)</f>
        <v>0</v>
      </c>
    </row>
    <row r="208" spans="1:13" x14ac:dyDescent="0.25">
      <c r="A208" s="2">
        <v>206</v>
      </c>
      <c r="B208" s="2" t="s">
        <v>847</v>
      </c>
      <c r="C208" s="2" t="s">
        <v>848</v>
      </c>
      <c r="D208" s="2" t="s">
        <v>849</v>
      </c>
      <c r="E208" s="2" t="s">
        <v>850</v>
      </c>
      <c r="F208" s="2" t="str">
        <f>IFERROR(VLOOKUP(D208,[3]Bai1_VuotQua!$D$8:$I$143,6,FALSE),"NY")</f>
        <v>NY</v>
      </c>
      <c r="G208" s="2" t="str">
        <f>IFERROR(VLOOKUP(D208,[3]Bai2_VuotQua!$D$8:$I$120,6,FALSE),"NY")</f>
        <v>NY</v>
      </c>
      <c r="H208" s="2" t="str">
        <f>IFERROR(VLOOKUP(D208,[3]Bai3_VuotQua!$D$8:$I$122,6,FALSE),"NY")</f>
        <v>NY</v>
      </c>
      <c r="I208" s="2" t="str">
        <f>IFERROR(VLOOKUP(D208,[3]Bai4_VuotQua!$D$8:$I$117,6,FALSE),"NY")</f>
        <v>NY</v>
      </c>
      <c r="J208" s="2" t="str">
        <f t="shared" si="3"/>
        <v>NY</v>
      </c>
      <c r="K208" s="2" t="str">
        <f>VLOOKUP($D208,[1]Bai1_View!$E$2:$J$177,5,FALSE)</f>
        <v>Cần Thơ</v>
      </c>
      <c r="L208" s="2" t="str">
        <f>VLOOKUP($D208,[1]Bai1_View!$E$2:$J$177,6,FALSE)</f>
        <v>A. Tho</v>
      </c>
      <c r="M208" s="2">
        <f>IFERROR(VLOOKUP(D208,[2]Hồng!$D$1:$M$21,10,FALSE),0)</f>
        <v>0</v>
      </c>
    </row>
    <row r="209" spans="1:13" x14ac:dyDescent="0.25">
      <c r="A209" s="2">
        <v>207</v>
      </c>
      <c r="B209" s="2" t="s">
        <v>851</v>
      </c>
      <c r="C209" s="2" t="s">
        <v>852</v>
      </c>
      <c r="D209" s="2" t="s">
        <v>853</v>
      </c>
      <c r="E209" s="2" t="s">
        <v>854</v>
      </c>
      <c r="F209" s="2" t="str">
        <f>IFERROR(VLOOKUP(D209,[3]Bai1_VuotQua!$D$8:$I$143,6,FALSE),"NY")</f>
        <v>NY</v>
      </c>
      <c r="G209" s="2" t="str">
        <f>IFERROR(VLOOKUP(D209,[3]Bai2_VuotQua!$D$8:$I$120,6,FALSE),"NY")</f>
        <v>NY</v>
      </c>
      <c r="H209" s="2" t="str">
        <f>IFERROR(VLOOKUP(D209,[3]Bai3_VuotQua!$D$8:$I$122,6,FALSE),"NY")</f>
        <v>NY</v>
      </c>
      <c r="I209" s="2" t="str">
        <f>IFERROR(VLOOKUP(D209,[3]Bai4_VuotQua!$D$8:$I$117,6,FALSE),"NY")</f>
        <v>NY</v>
      </c>
      <c r="J209" s="2" t="str">
        <f t="shared" si="3"/>
        <v>NY</v>
      </c>
      <c r="K209" s="2" t="str">
        <f>VLOOKUP($D209,[1]Bai1_View!$E$2:$J$177,5,FALSE)</f>
        <v>Khánh Hòa</v>
      </c>
      <c r="L209" s="2" t="str">
        <f>VLOOKUP($D209,[1]Bai1_View!$E$2:$J$177,6,FALSE)</f>
        <v>A. Tho</v>
      </c>
      <c r="M209" s="2">
        <f>IFERROR(VLOOKUP(D209,[2]Hồng!$D$1:$M$21,10,FALSE),0)</f>
        <v>0</v>
      </c>
    </row>
    <row r="210" spans="1:13" x14ac:dyDescent="0.25">
      <c r="A210" s="2">
        <v>208</v>
      </c>
      <c r="B210" s="2" t="s">
        <v>855</v>
      </c>
      <c r="C210" s="2" t="s">
        <v>856</v>
      </c>
      <c r="D210" s="2" t="s">
        <v>857</v>
      </c>
      <c r="E210" s="2" t="s">
        <v>858</v>
      </c>
      <c r="F210" s="2" t="str">
        <f>IFERROR(VLOOKUP(D210,[3]Bai1_VuotQua!$D$8:$I$143,6,FALSE),"NY")</f>
        <v>done</v>
      </c>
      <c r="G210" s="2" t="str">
        <f>IFERROR(VLOOKUP(D210,[3]Bai2_VuotQua!$D$8:$I$120,6,FALSE),"NY")</f>
        <v>done</v>
      </c>
      <c r="H210" s="2" t="str">
        <f>IFERROR(VLOOKUP(D210,[3]Bai3_VuotQua!$D$8:$I$122,6,FALSE),"NY")</f>
        <v>done</v>
      </c>
      <c r="I210" s="2" t="str">
        <f>IFERROR(VLOOKUP(D210,[3]Bai4_VuotQua!$D$8:$I$117,6,FALSE),"NY")</f>
        <v>done</v>
      </c>
      <c r="J210" s="2" t="str">
        <f t="shared" si="3"/>
        <v>done all</v>
      </c>
      <c r="K210" s="2" t="str">
        <f>VLOOKUP($D210,[1]Bai1_View!$E$2:$J$177,5,FALSE)</f>
        <v>HCM</v>
      </c>
      <c r="L210" s="2" t="str">
        <f>VLOOKUP($D210,[1]Bai1_View!$E$2:$J$177,6,FALSE)</f>
        <v>A. Tri</v>
      </c>
      <c r="M210" s="2">
        <f>IFERROR(VLOOKUP(D210,[2]Hồng!$D$1:$M$21,10,FALSE),0)</f>
        <v>0</v>
      </c>
    </row>
    <row r="211" spans="1:13" x14ac:dyDescent="0.25">
      <c r="A211" s="2">
        <v>209</v>
      </c>
      <c r="B211" s="2" t="s">
        <v>859</v>
      </c>
      <c r="C211" s="2" t="s">
        <v>860</v>
      </c>
      <c r="D211" s="2" t="s">
        <v>861</v>
      </c>
      <c r="E211" s="2" t="s">
        <v>862</v>
      </c>
      <c r="F211" s="2" t="str">
        <f>IFERROR(VLOOKUP(D211,[3]Bai1_VuotQua!$D$8:$I$143,6,FALSE),"NY")</f>
        <v>done</v>
      </c>
      <c r="G211" s="2" t="str">
        <f>IFERROR(VLOOKUP(D211,[3]Bai2_VuotQua!$D$8:$I$120,6,FALSE),"NY")</f>
        <v>done</v>
      </c>
      <c r="H211" s="2" t="str">
        <f>IFERROR(VLOOKUP(D211,[3]Bai3_VuotQua!$D$8:$I$122,6,FALSE),"NY")</f>
        <v>done</v>
      </c>
      <c r="I211" s="2" t="str">
        <f>IFERROR(VLOOKUP(D211,[3]Bai4_VuotQua!$D$8:$I$117,6,FALSE),"NY")</f>
        <v>done</v>
      </c>
      <c r="J211" s="2" t="str">
        <f t="shared" si="3"/>
        <v>done all</v>
      </c>
      <c r="K211" s="2" t="str">
        <f>VLOOKUP($D211,[1]Bai1_View!$E$2:$J$177,5,FALSE)</f>
        <v>Cần Thơ</v>
      </c>
      <c r="L211" s="2" t="str">
        <f>VLOOKUP($D211,[1]Bai1_View!$E$2:$J$177,6,FALSE)</f>
        <v>A. Tho</v>
      </c>
      <c r="M211" s="2">
        <f>IFERROR(VLOOKUP(D211,[2]Hồng!$D$1:$M$21,10,FALSE),0)</f>
        <v>0</v>
      </c>
    </row>
    <row r="212" spans="1:13" x14ac:dyDescent="0.25">
      <c r="A212" s="2">
        <v>210</v>
      </c>
      <c r="B212" s="2" t="s">
        <v>863</v>
      </c>
      <c r="C212" s="2" t="s">
        <v>864</v>
      </c>
      <c r="D212" s="2" t="s">
        <v>865</v>
      </c>
      <c r="E212" s="2" t="s">
        <v>866</v>
      </c>
      <c r="F212" s="2" t="str">
        <f>IFERROR(VLOOKUP(D212,[3]Bai1_VuotQua!$D$8:$I$143,6,FALSE),"NY")</f>
        <v>NY</v>
      </c>
      <c r="G212" s="2" t="str">
        <f>IFERROR(VLOOKUP(D212,[3]Bai2_VuotQua!$D$8:$I$120,6,FALSE),"NY")</f>
        <v>NY</v>
      </c>
      <c r="H212" s="2" t="str">
        <f>IFERROR(VLOOKUP(D212,[3]Bai3_VuotQua!$D$8:$I$122,6,FALSE),"NY")</f>
        <v>NY</v>
      </c>
      <c r="I212" s="2" t="str">
        <f>IFERROR(VLOOKUP(D212,[3]Bai4_VuotQua!$D$8:$I$117,6,FALSE),"NY")</f>
        <v>NY</v>
      </c>
      <c r="J212" s="2" t="str">
        <f t="shared" si="3"/>
        <v>NY</v>
      </c>
      <c r="K212" s="2" t="str">
        <f>VLOOKUP($D212,[1]Bai1_View!$E$2:$J$177,5,FALSE)</f>
        <v>Hải Phòng</v>
      </c>
      <c r="L212" s="2" t="str">
        <f>VLOOKUP($D212,[1]Bai1_View!$E$2:$J$177,6,FALSE)</f>
        <v>A. Tuan</v>
      </c>
      <c r="M212" s="2">
        <f>IFERROR(VLOOKUP(D212,[2]Hồng!$D$1:$M$21,10,FALSE),0)</f>
        <v>0</v>
      </c>
    </row>
    <row r="213" spans="1:13" x14ac:dyDescent="0.25">
      <c r="A213" s="2">
        <v>211</v>
      </c>
      <c r="B213" s="2" t="s">
        <v>867</v>
      </c>
      <c r="C213" s="2" t="s">
        <v>868</v>
      </c>
      <c r="D213" s="2" t="s">
        <v>869</v>
      </c>
      <c r="E213" s="2" t="s">
        <v>870</v>
      </c>
      <c r="F213" s="2" t="str">
        <f>IFERROR(VLOOKUP(D213,[3]Bai1_VuotQua!$D$8:$I$143,6,FALSE),"NY")</f>
        <v>done</v>
      </c>
      <c r="G213" s="2" t="str">
        <f>IFERROR(VLOOKUP(D213,[3]Bai2_VuotQua!$D$8:$I$120,6,FALSE),"NY")</f>
        <v>done</v>
      </c>
      <c r="H213" s="2" t="str">
        <f>IFERROR(VLOOKUP(D213,[3]Bai3_VuotQua!$D$8:$I$122,6,FALSE),"NY")</f>
        <v>done</v>
      </c>
      <c r="I213" s="2" t="str">
        <f>IFERROR(VLOOKUP(D213,[3]Bai4_VuotQua!$D$8:$I$117,6,FALSE),"NY")</f>
        <v>done</v>
      </c>
      <c r="J213" s="2" t="str">
        <f t="shared" si="3"/>
        <v>done all</v>
      </c>
      <c r="K213" s="2" t="str">
        <f>VLOOKUP($D213,[1]Bai1_View!$E$2:$J$177,5,FALSE)</f>
        <v>Cần Thơ</v>
      </c>
      <c r="L213" s="2" t="str">
        <f>VLOOKUP($D213,[1]Bai1_View!$E$2:$J$177,6,FALSE)</f>
        <v>A. Tho</v>
      </c>
      <c r="M213" s="2">
        <f>IFERROR(VLOOKUP(D213,[2]Hồng!$D$1:$M$21,10,FALSE),0)</f>
        <v>0</v>
      </c>
    </row>
    <row r="214" spans="1:13" x14ac:dyDescent="0.25">
      <c r="A214" s="2">
        <v>212</v>
      </c>
      <c r="B214" s="2" t="s">
        <v>871</v>
      </c>
      <c r="C214" s="2" t="s">
        <v>872</v>
      </c>
      <c r="D214" s="2" t="s">
        <v>873</v>
      </c>
      <c r="E214" s="2" t="s">
        <v>874</v>
      </c>
      <c r="F214" s="2" t="str">
        <f>IFERROR(VLOOKUP(D214,[3]Bai1_VuotQua!$D$8:$I$143,6,FALSE),"NY")</f>
        <v>NY</v>
      </c>
      <c r="G214" s="2" t="str">
        <f>IFERROR(VLOOKUP(D214,[3]Bai2_VuotQua!$D$8:$I$120,6,FALSE),"NY")</f>
        <v>done</v>
      </c>
      <c r="H214" s="2" t="str">
        <f>IFERROR(VLOOKUP(D214,[3]Bai3_VuotQua!$D$8:$I$122,6,FALSE),"NY")</f>
        <v>done</v>
      </c>
      <c r="I214" s="2" t="str">
        <f>IFERROR(VLOOKUP(D214,[3]Bai4_VuotQua!$D$8:$I$117,6,FALSE),"NY")</f>
        <v>NY</v>
      </c>
      <c r="J214" s="2" t="str">
        <f t="shared" si="3"/>
        <v>done 2 lession</v>
      </c>
      <c r="K214" s="2" t="s">
        <v>27</v>
      </c>
      <c r="L214" s="2" t="s">
        <v>20</v>
      </c>
      <c r="M214" s="2">
        <f>IFERROR(VLOOKUP(D214,[2]Hồng!$D$1:$M$21,10,FALSE),0)</f>
        <v>0</v>
      </c>
    </row>
    <row r="215" spans="1:13" x14ac:dyDescent="0.25">
      <c r="A215" s="2">
        <v>213</v>
      </c>
      <c r="B215" s="2" t="s">
        <v>875</v>
      </c>
      <c r="C215" s="2" t="s">
        <v>876</v>
      </c>
      <c r="D215" s="2" t="s">
        <v>877</v>
      </c>
      <c r="E215" s="2" t="s">
        <v>878</v>
      </c>
      <c r="F215" s="2" t="str">
        <f>IFERROR(VLOOKUP(D215,[3]Bai1_VuotQua!$D$8:$I$143,6,FALSE),"NY")</f>
        <v>NY</v>
      </c>
      <c r="G215" s="2" t="str">
        <f>IFERROR(VLOOKUP(D215,[3]Bai2_VuotQua!$D$8:$I$120,6,FALSE),"NY")</f>
        <v>NY</v>
      </c>
      <c r="H215" s="2" t="str">
        <f>IFERROR(VLOOKUP(D215,[3]Bai3_VuotQua!$D$8:$I$122,6,FALSE),"NY")</f>
        <v>NY</v>
      </c>
      <c r="I215" s="2" t="str">
        <f>IFERROR(VLOOKUP(D215,[3]Bai4_VuotQua!$D$8:$I$117,6,FALSE),"NY")</f>
        <v>NY</v>
      </c>
      <c r="J215" s="2" t="str">
        <f t="shared" si="3"/>
        <v>NY</v>
      </c>
      <c r="K215" s="2" t="str">
        <f>VLOOKUP($D215,[1]Bai1_View!$E$2:$J$177,5,FALSE)</f>
        <v>HN</v>
      </c>
      <c r="L215" s="2" t="str">
        <f>VLOOKUP($D215,[1]Bai1_View!$E$2:$J$177,6,FALSE)</f>
        <v>C. Quy</v>
      </c>
      <c r="M215" s="2">
        <f>IFERROR(VLOOKUP(D215,[2]Hồng!$D$1:$M$21,10,FALSE),0)</f>
        <v>0</v>
      </c>
    </row>
    <row r="216" spans="1:13" x14ac:dyDescent="0.25">
      <c r="A216" s="2">
        <v>214</v>
      </c>
      <c r="B216" s="2" t="s">
        <v>879</v>
      </c>
      <c r="C216" s="2" t="s">
        <v>880</v>
      </c>
      <c r="D216" s="2" t="s">
        <v>881</v>
      </c>
      <c r="E216" s="2" t="s">
        <v>882</v>
      </c>
      <c r="F216" s="2" t="str">
        <f>IFERROR(VLOOKUP(D216,[3]Bai1_VuotQua!$D$8:$I$143,6,FALSE),"NY")</f>
        <v>done</v>
      </c>
      <c r="G216" s="2" t="str">
        <f>IFERROR(VLOOKUP(D216,[3]Bai2_VuotQua!$D$8:$I$120,6,FALSE),"NY")</f>
        <v>NY</v>
      </c>
      <c r="H216" s="2" t="str">
        <f>IFERROR(VLOOKUP(D216,[3]Bai3_VuotQua!$D$8:$I$122,6,FALSE),"NY")</f>
        <v>NY</v>
      </c>
      <c r="I216" s="2" t="str">
        <f>IFERROR(VLOOKUP(D216,[3]Bai4_VuotQua!$D$8:$I$117,6,FALSE),"NY")</f>
        <v>NY</v>
      </c>
      <c r="J216" s="2" t="str">
        <f t="shared" si="3"/>
        <v>done 1 lession</v>
      </c>
      <c r="K216" s="2" t="str">
        <f>VLOOKUP($D216,[1]Bai1_View!$E$2:$J$177,5,FALSE)</f>
        <v>Khánh Hòa</v>
      </c>
      <c r="L216" s="2" t="str">
        <f>VLOOKUP($D216,[1]Bai1_View!$E$2:$J$177,6,FALSE)</f>
        <v>A. Tho</v>
      </c>
      <c r="M216" s="2">
        <f>IFERROR(VLOOKUP(D216,[2]Hồng!$D$1:$M$21,10,FALSE),0)</f>
        <v>0</v>
      </c>
    </row>
    <row r="217" spans="1:13" x14ac:dyDescent="0.25">
      <c r="A217" s="2">
        <v>215</v>
      </c>
      <c r="B217" s="2" t="s">
        <v>883</v>
      </c>
      <c r="C217" s="2" t="s">
        <v>884</v>
      </c>
      <c r="D217" s="2" t="s">
        <v>885</v>
      </c>
      <c r="E217" s="2" t="s">
        <v>886</v>
      </c>
      <c r="F217" s="2" t="str">
        <f>IFERROR(VLOOKUP(D217,[3]Bai1_VuotQua!$D$8:$I$143,6,FALSE),"NY")</f>
        <v>done</v>
      </c>
      <c r="G217" s="2" t="str">
        <f>IFERROR(VLOOKUP(D217,[3]Bai2_VuotQua!$D$8:$I$120,6,FALSE),"NY")</f>
        <v>done</v>
      </c>
      <c r="H217" s="2" t="str">
        <f>IFERROR(VLOOKUP(D217,[3]Bai3_VuotQua!$D$8:$I$122,6,FALSE),"NY")</f>
        <v>done</v>
      </c>
      <c r="I217" s="2" t="str">
        <f>IFERROR(VLOOKUP(D217,[3]Bai4_VuotQua!$D$8:$I$117,6,FALSE),"NY")</f>
        <v>done</v>
      </c>
      <c r="J217" s="2" t="str">
        <f t="shared" si="3"/>
        <v>done all</v>
      </c>
      <c r="K217" s="2" t="s">
        <v>27</v>
      </c>
      <c r="L217" s="2" t="s">
        <v>20</v>
      </c>
      <c r="M217" s="2" t="str">
        <f>IFERROR(VLOOKUP(D217,[2]Hồng!$D$1:$M$21,10,FALSE),0)</f>
        <v>ok</v>
      </c>
    </row>
    <row r="218" spans="1:13" x14ac:dyDescent="0.25">
      <c r="A218" s="2">
        <v>216</v>
      </c>
      <c r="B218" s="2" t="s">
        <v>887</v>
      </c>
      <c r="C218" s="2" t="s">
        <v>888</v>
      </c>
      <c r="D218" s="2" t="s">
        <v>889</v>
      </c>
      <c r="E218" s="2" t="s">
        <v>890</v>
      </c>
      <c r="F218" s="2" t="str">
        <f>IFERROR(VLOOKUP(D218,[3]Bai1_VuotQua!$D$8:$I$143,6,FALSE),"NY")</f>
        <v>NY</v>
      </c>
      <c r="G218" s="2" t="str">
        <f>IFERROR(VLOOKUP(D218,[3]Bai2_VuotQua!$D$8:$I$120,6,FALSE),"NY")</f>
        <v>NY</v>
      </c>
      <c r="H218" s="2" t="str">
        <f>IFERROR(VLOOKUP(D218,[3]Bai3_VuotQua!$D$8:$I$122,6,FALSE),"NY")</f>
        <v>NY</v>
      </c>
      <c r="I218" s="2" t="str">
        <f>IFERROR(VLOOKUP(D218,[3]Bai4_VuotQua!$D$8:$I$117,6,FALSE),"NY")</f>
        <v>NY</v>
      </c>
      <c r="J218" s="2" t="str">
        <f t="shared" si="3"/>
        <v>NY</v>
      </c>
      <c r="K218" s="2" t="str">
        <f>VLOOKUP($D218,[1]Bai1_View!$E$2:$J$177,5,FALSE)</f>
        <v>HCM</v>
      </c>
      <c r="L218" s="2" t="str">
        <f>VLOOKUP($D218,[1]Bai1_View!$E$2:$J$177,6,FALSE)</f>
        <v>A. Tri</v>
      </c>
      <c r="M218" s="2">
        <f>IFERROR(VLOOKUP(D218,[2]Hồng!$D$1:$M$21,10,FALSE),0)</f>
        <v>0</v>
      </c>
    </row>
    <row r="219" spans="1:13" x14ac:dyDescent="0.25">
      <c r="A219" s="2">
        <v>217</v>
      </c>
      <c r="B219" s="2" t="s">
        <v>891</v>
      </c>
      <c r="C219" s="2" t="s">
        <v>892</v>
      </c>
      <c r="D219" s="2" t="s">
        <v>893</v>
      </c>
      <c r="E219" s="2" t="s">
        <v>894</v>
      </c>
      <c r="F219" s="2" t="str">
        <f>IFERROR(VLOOKUP(D219,[3]Bai1_VuotQua!$D$8:$I$143,6,FALSE),"NY")</f>
        <v>NY</v>
      </c>
      <c r="G219" s="2" t="str">
        <f>IFERROR(VLOOKUP(D219,[3]Bai2_VuotQua!$D$8:$I$120,6,FALSE),"NY")</f>
        <v>NY</v>
      </c>
      <c r="H219" s="2" t="str">
        <f>IFERROR(VLOOKUP(D219,[3]Bai3_VuotQua!$D$8:$I$122,6,FALSE),"NY")</f>
        <v>done</v>
      </c>
      <c r="I219" s="2" t="str">
        <f>IFERROR(VLOOKUP(D219,[3]Bai4_VuotQua!$D$8:$I$117,6,FALSE),"NY")</f>
        <v>done</v>
      </c>
      <c r="J219" s="2" t="str">
        <f t="shared" si="3"/>
        <v>done 2 lession</v>
      </c>
      <c r="K219" s="2" t="str">
        <f>VLOOKUP($D219,[1]Bai1_View!$E$2:$J$177,5,FALSE)</f>
        <v>Đăk Lăk</v>
      </c>
      <c r="L219" s="2" t="str">
        <f>VLOOKUP($D219,[1]Bai1_View!$E$2:$J$177,6,FALSE)</f>
        <v>A. Tho</v>
      </c>
      <c r="M219" s="2">
        <f>IFERROR(VLOOKUP(D219,[2]Hồng!$D$1:$M$21,10,FALSE),0)</f>
        <v>0</v>
      </c>
    </row>
    <row r="220" spans="1:13" x14ac:dyDescent="0.25">
      <c r="A220" s="2">
        <v>218</v>
      </c>
      <c r="B220" s="2" t="s">
        <v>895</v>
      </c>
      <c r="C220" s="2" t="s">
        <v>896</v>
      </c>
      <c r="D220" s="2" t="s">
        <v>897</v>
      </c>
      <c r="E220" s="2" t="s">
        <v>898</v>
      </c>
      <c r="F220" s="2" t="str">
        <f>IFERROR(VLOOKUP(D220,[3]Bai1_VuotQua!$D$8:$I$143,6,FALSE),"NY")</f>
        <v>NY</v>
      </c>
      <c r="G220" s="2" t="str">
        <f>IFERROR(VLOOKUP(D220,[3]Bai2_VuotQua!$D$8:$I$120,6,FALSE),"NY")</f>
        <v>NY</v>
      </c>
      <c r="H220" s="2" t="str">
        <f>IFERROR(VLOOKUP(D220,[3]Bai3_VuotQua!$D$8:$I$122,6,FALSE),"NY")</f>
        <v>done</v>
      </c>
      <c r="I220" s="2" t="str">
        <f>IFERROR(VLOOKUP(D220,[3]Bai4_VuotQua!$D$8:$I$117,6,FALSE),"NY")</f>
        <v>done</v>
      </c>
      <c r="J220" s="2" t="str">
        <f t="shared" si="3"/>
        <v>done 2 lession</v>
      </c>
      <c r="K220" s="2" t="str">
        <f>VLOOKUP($D220,[1]Bai1_View!$E$2:$J$177,5,FALSE)</f>
        <v>HN</v>
      </c>
      <c r="L220" s="2" t="str">
        <f>VLOOKUP($D220,[1]Bai1_View!$E$2:$J$177,6,FALSE)</f>
        <v>C. Quy</v>
      </c>
      <c r="M220" s="2">
        <f>IFERROR(VLOOKUP(D220,[2]Hồng!$D$1:$M$21,10,FALSE),0)</f>
        <v>0</v>
      </c>
    </row>
    <row r="221" spans="1:13" x14ac:dyDescent="0.25">
      <c r="A221" s="2">
        <v>219</v>
      </c>
      <c r="B221" s="2" t="s">
        <v>899</v>
      </c>
      <c r="C221" s="2" t="s">
        <v>900</v>
      </c>
      <c r="D221" s="2" t="s">
        <v>901</v>
      </c>
      <c r="E221" s="2" t="s">
        <v>902</v>
      </c>
      <c r="F221" s="2" t="str">
        <f>IFERROR(VLOOKUP(D221,[3]Bai1_VuotQua!$D$8:$I$143,6,FALSE),"NY")</f>
        <v>done</v>
      </c>
      <c r="G221" s="2" t="str">
        <f>IFERROR(VLOOKUP(D221,[3]Bai2_VuotQua!$D$8:$I$120,6,FALSE),"NY")</f>
        <v>done</v>
      </c>
      <c r="H221" s="2" t="str">
        <f>IFERROR(VLOOKUP(D221,[3]Bai3_VuotQua!$D$8:$I$122,6,FALSE),"NY")</f>
        <v>done</v>
      </c>
      <c r="I221" s="2" t="str">
        <f>IFERROR(VLOOKUP(D221,[3]Bai4_VuotQua!$D$8:$I$117,6,FALSE),"NY")</f>
        <v>done</v>
      </c>
      <c r="J221" s="2" t="str">
        <f t="shared" si="3"/>
        <v>done all</v>
      </c>
      <c r="K221" s="2" t="str">
        <f>VLOOKUP($D221,[1]Bai1_View!$E$2:$J$177,5,FALSE)</f>
        <v>Đồng Nai</v>
      </c>
      <c r="L221" s="2" t="str">
        <f>VLOOKUP($D221,[1]Bai1_View!$E$2:$J$177,6,FALSE)</f>
        <v>A. Tho</v>
      </c>
      <c r="M221" s="2">
        <f>IFERROR(VLOOKUP(D221,[2]Hồng!$D$1:$M$21,10,FALSE),0)</f>
        <v>0</v>
      </c>
    </row>
    <row r="222" spans="1:13" x14ac:dyDescent="0.25">
      <c r="A222" s="2">
        <v>220</v>
      </c>
      <c r="B222" s="2" t="s">
        <v>903</v>
      </c>
      <c r="C222" s="2" t="s">
        <v>904</v>
      </c>
      <c r="D222" s="2" t="s">
        <v>905</v>
      </c>
      <c r="E222" s="2" t="s">
        <v>906</v>
      </c>
      <c r="F222" s="2" t="str">
        <f>IFERROR(VLOOKUP(D222,[3]Bai1_VuotQua!$D$8:$I$143,6,FALSE),"NY")</f>
        <v>NY</v>
      </c>
      <c r="G222" s="2" t="str">
        <f>IFERROR(VLOOKUP(D222,[3]Bai2_VuotQua!$D$8:$I$120,6,FALSE),"NY")</f>
        <v>NY</v>
      </c>
      <c r="H222" s="2" t="str">
        <f>IFERROR(VLOOKUP(D222,[3]Bai3_VuotQua!$D$8:$I$122,6,FALSE),"NY")</f>
        <v>NY</v>
      </c>
      <c r="I222" s="2" t="str">
        <f>IFERROR(VLOOKUP(D222,[3]Bai4_VuotQua!$D$8:$I$117,6,FALSE),"NY")</f>
        <v>NY</v>
      </c>
      <c r="J222" s="2" t="str">
        <f t="shared" si="3"/>
        <v>NY</v>
      </c>
      <c r="K222" s="2" t="s">
        <v>27</v>
      </c>
      <c r="L222" s="2" t="s">
        <v>20</v>
      </c>
      <c r="M222" s="2">
        <f>IFERROR(VLOOKUP(D222,[2]Hồng!$D$1:$M$21,10,FALSE),0)</f>
        <v>0</v>
      </c>
    </row>
    <row r="223" spans="1:13" x14ac:dyDescent="0.25">
      <c r="A223" s="2">
        <v>221</v>
      </c>
      <c r="B223" s="2" t="s">
        <v>907</v>
      </c>
      <c r="C223" s="2" t="s">
        <v>907</v>
      </c>
      <c r="D223" s="2" t="s">
        <v>908</v>
      </c>
      <c r="E223" s="2" t="s">
        <v>909</v>
      </c>
      <c r="F223" s="2" t="str">
        <f>IFERROR(VLOOKUP(D223,[3]Bai1_VuotQua!$D$8:$I$143,6,FALSE),"NY")</f>
        <v>NY</v>
      </c>
      <c r="G223" s="2" t="str">
        <f>IFERROR(VLOOKUP(D223,[3]Bai2_VuotQua!$D$8:$I$120,6,FALSE),"NY")</f>
        <v>NY</v>
      </c>
      <c r="H223" s="2" t="str">
        <f>IFERROR(VLOOKUP(D223,[3]Bai3_VuotQua!$D$8:$I$122,6,FALSE),"NY")</f>
        <v>NY</v>
      </c>
      <c r="I223" s="2" t="str">
        <f>IFERROR(VLOOKUP(D223,[3]Bai4_VuotQua!$D$8:$I$117,6,FALSE),"NY")</f>
        <v>NY</v>
      </c>
      <c r="J223" s="2" t="str">
        <f t="shared" si="3"/>
        <v>NY</v>
      </c>
      <c r="K223" s="2" t="str">
        <f>VLOOKUP($D223,[1]Bai1_View!$E$2:$J$177,5,FALSE)</f>
        <v>HCM</v>
      </c>
      <c r="L223" s="2" t="str">
        <f>VLOOKUP($D223,[1]Bai1_View!$E$2:$J$177,6,FALSE)</f>
        <v>A. Tri</v>
      </c>
      <c r="M223" s="2">
        <f>IFERROR(VLOOKUP(D223,[2]Hồng!$D$1:$M$21,10,FALSE),0)</f>
        <v>0</v>
      </c>
    </row>
    <row r="224" spans="1:13" x14ac:dyDescent="0.25">
      <c r="A224" s="2">
        <v>222</v>
      </c>
      <c r="B224" s="2" t="s">
        <v>910</v>
      </c>
      <c r="C224" s="2" t="s">
        <v>911</v>
      </c>
      <c r="D224" s="2" t="s">
        <v>912</v>
      </c>
      <c r="E224" s="2" t="s">
        <v>913</v>
      </c>
      <c r="F224" s="2" t="str">
        <f>IFERROR(VLOOKUP(D224,[3]Bai1_VuotQua!$D$8:$I$143,6,FALSE),"NY")</f>
        <v>NY</v>
      </c>
      <c r="G224" s="2" t="str">
        <f>IFERROR(VLOOKUP(D224,[3]Bai2_VuotQua!$D$8:$I$120,6,FALSE),"NY")</f>
        <v>NY</v>
      </c>
      <c r="H224" s="2" t="str">
        <f>IFERROR(VLOOKUP(D224,[3]Bai3_VuotQua!$D$8:$I$122,6,FALSE),"NY")</f>
        <v>NY</v>
      </c>
      <c r="I224" s="2" t="str">
        <f>IFERROR(VLOOKUP(D224,[3]Bai4_VuotQua!$D$8:$I$117,6,FALSE),"NY")</f>
        <v>NY</v>
      </c>
      <c r="J224" s="2" t="str">
        <f t="shared" si="3"/>
        <v>NY</v>
      </c>
      <c r="K224" s="2" t="s">
        <v>125</v>
      </c>
      <c r="L224" s="2" t="s">
        <v>19</v>
      </c>
      <c r="M224" s="2">
        <f>IFERROR(VLOOKUP(D224,[2]Hồng!$D$1:$M$21,10,FALSE),0)</f>
        <v>0</v>
      </c>
    </row>
    <row r="225" spans="1:13" x14ac:dyDescent="0.25">
      <c r="A225" s="2">
        <v>223</v>
      </c>
      <c r="B225" s="2" t="s">
        <v>914</v>
      </c>
      <c r="C225" s="2" t="s">
        <v>915</v>
      </c>
      <c r="D225" s="2" t="s">
        <v>916</v>
      </c>
      <c r="E225" s="2" t="s">
        <v>917</v>
      </c>
      <c r="F225" s="2" t="str">
        <f>IFERROR(VLOOKUP(D225,[3]Bai1_VuotQua!$D$8:$I$143,6,FALSE),"NY")</f>
        <v>NY</v>
      </c>
      <c r="G225" s="2" t="str">
        <f>IFERROR(VLOOKUP(D225,[3]Bai2_VuotQua!$D$8:$I$120,6,FALSE),"NY")</f>
        <v>NY</v>
      </c>
      <c r="H225" s="2" t="str">
        <f>IFERROR(VLOOKUP(D225,[3]Bai3_VuotQua!$D$8:$I$122,6,FALSE),"NY")</f>
        <v>NY</v>
      </c>
      <c r="I225" s="2" t="str">
        <f>IFERROR(VLOOKUP(D225,[3]Bai4_VuotQua!$D$8:$I$117,6,FALSE),"NY")</f>
        <v>NY</v>
      </c>
      <c r="J225" s="2" t="str">
        <f t="shared" si="3"/>
        <v>NY</v>
      </c>
      <c r="K225" s="2" t="s">
        <v>27</v>
      </c>
      <c r="L225" s="2" t="s">
        <v>20</v>
      </c>
      <c r="M225" s="2">
        <f>IFERROR(VLOOKUP(D225,[2]Hồng!$D$1:$M$21,10,FALSE),0)</f>
        <v>0</v>
      </c>
    </row>
    <row r="226" spans="1:13" x14ac:dyDescent="0.25">
      <c r="A226" s="2">
        <v>224</v>
      </c>
      <c r="B226" s="2" t="s">
        <v>918</v>
      </c>
      <c r="C226" s="2" t="s">
        <v>919</v>
      </c>
      <c r="D226" s="2" t="s">
        <v>920</v>
      </c>
      <c r="E226" s="2" t="s">
        <v>921</v>
      </c>
      <c r="F226" s="2" t="str">
        <f>IFERROR(VLOOKUP(D226,[3]Bai1_VuotQua!$D$8:$I$143,6,FALSE),"NY")</f>
        <v>NY</v>
      </c>
      <c r="G226" s="2" t="str">
        <f>IFERROR(VLOOKUP(D226,[3]Bai2_VuotQua!$D$8:$I$120,6,FALSE),"NY")</f>
        <v>NY</v>
      </c>
      <c r="H226" s="2" t="str">
        <f>IFERROR(VLOOKUP(D226,[3]Bai3_VuotQua!$D$8:$I$122,6,FALSE),"NY")</f>
        <v>NY</v>
      </c>
      <c r="I226" s="2" t="str">
        <f>IFERROR(VLOOKUP(D226,[3]Bai4_VuotQua!$D$8:$I$117,6,FALSE),"NY")</f>
        <v>NY</v>
      </c>
      <c r="J226" s="2" t="str">
        <f t="shared" si="3"/>
        <v>NY</v>
      </c>
      <c r="K226" s="2" t="s">
        <v>125</v>
      </c>
      <c r="L226" s="2" t="s">
        <v>19</v>
      </c>
      <c r="M226" s="2">
        <f>IFERROR(VLOOKUP(D226,[2]Hồng!$D$1:$M$21,10,FALSE),0)</f>
        <v>0</v>
      </c>
    </row>
    <row r="227" spans="1:13" x14ac:dyDescent="0.25">
      <c r="A227" s="2">
        <v>225</v>
      </c>
      <c r="B227" s="2" t="s">
        <v>922</v>
      </c>
      <c r="C227" s="2" t="s">
        <v>923</v>
      </c>
      <c r="D227" s="2" t="s">
        <v>924</v>
      </c>
      <c r="E227" s="2" t="s">
        <v>925</v>
      </c>
      <c r="F227" s="2" t="str">
        <f>IFERROR(VLOOKUP(D227,[3]Bai1_VuotQua!$D$8:$I$143,6,FALSE),"NY")</f>
        <v>NY</v>
      </c>
      <c r="G227" s="2" t="str">
        <f>IFERROR(VLOOKUP(D227,[3]Bai2_VuotQua!$D$8:$I$120,6,FALSE),"NY")</f>
        <v>NY</v>
      </c>
      <c r="H227" s="2" t="str">
        <f>IFERROR(VLOOKUP(D227,[3]Bai3_VuotQua!$D$8:$I$122,6,FALSE),"NY")</f>
        <v>NY</v>
      </c>
      <c r="I227" s="2" t="str">
        <f>IFERROR(VLOOKUP(D227,[3]Bai4_VuotQua!$D$8:$I$117,6,FALSE),"NY")</f>
        <v>NY</v>
      </c>
      <c r="J227" s="2" t="str">
        <f t="shared" si="3"/>
        <v>NY</v>
      </c>
      <c r="K227" s="2" t="str">
        <f>VLOOKUP($D227,[1]Bai1_View!$E$2:$J$177,5,FALSE)</f>
        <v>Đăk Lăk</v>
      </c>
      <c r="L227" s="2" t="str">
        <f>VLOOKUP($D227,[1]Bai1_View!$E$2:$J$177,6,FALSE)</f>
        <v>A. Tho</v>
      </c>
      <c r="M227" s="2">
        <f>IFERROR(VLOOKUP(D227,[2]Hồng!$D$1:$M$21,10,FALSE),0)</f>
        <v>0</v>
      </c>
    </row>
    <row r="228" spans="1:13" x14ac:dyDescent="0.25">
      <c r="A228" s="2">
        <v>226</v>
      </c>
      <c r="B228" s="2" t="s">
        <v>926</v>
      </c>
      <c r="C228" s="2" t="s">
        <v>927</v>
      </c>
      <c r="D228" s="2" t="s">
        <v>928</v>
      </c>
      <c r="E228" s="2" t="s">
        <v>929</v>
      </c>
      <c r="F228" s="2" t="str">
        <f>IFERROR(VLOOKUP(D228,[3]Bai1_VuotQua!$D$8:$I$143,6,FALSE),"NY")</f>
        <v>NY</v>
      </c>
      <c r="G228" s="2" t="str">
        <f>IFERROR(VLOOKUP(D228,[3]Bai2_VuotQua!$D$8:$I$120,6,FALSE),"NY")</f>
        <v>done</v>
      </c>
      <c r="H228" s="2" t="str">
        <f>IFERROR(VLOOKUP(D228,[3]Bai3_VuotQua!$D$8:$I$122,6,FALSE),"NY")</f>
        <v>done</v>
      </c>
      <c r="I228" s="2" t="str">
        <f>IFERROR(VLOOKUP(D228,[3]Bai4_VuotQua!$D$8:$I$117,6,FALSE),"NY")</f>
        <v>done</v>
      </c>
      <c r="J228" s="2" t="str">
        <f t="shared" si="3"/>
        <v>done 3 lession</v>
      </c>
      <c r="K228" s="2" t="str">
        <f>VLOOKUP($D228,[1]Bai1_View!$E$2:$J$177,5,FALSE)</f>
        <v>HCM</v>
      </c>
      <c r="L228" s="2" t="str">
        <f>VLOOKUP($D228,[1]Bai1_View!$E$2:$J$177,6,FALSE)</f>
        <v>A. Tri</v>
      </c>
      <c r="M228" s="2">
        <f>IFERROR(VLOOKUP(D228,[2]Hồng!$D$1:$M$21,10,FALSE),0)</f>
        <v>0</v>
      </c>
    </row>
    <row r="229" spans="1:13" x14ac:dyDescent="0.25">
      <c r="A229" s="2">
        <v>227</v>
      </c>
      <c r="B229" s="2" t="s">
        <v>930</v>
      </c>
      <c r="C229" s="2" t="s">
        <v>931</v>
      </c>
      <c r="D229" s="2" t="s">
        <v>932</v>
      </c>
      <c r="E229" s="2" t="s">
        <v>933</v>
      </c>
      <c r="F229" s="2" t="str">
        <f>IFERROR(VLOOKUP(D229,[3]Bai1_VuotQua!$D$8:$I$143,6,FALSE),"NY")</f>
        <v>NY</v>
      </c>
      <c r="G229" s="2" t="str">
        <f>IFERROR(VLOOKUP(D229,[3]Bai2_VuotQua!$D$8:$I$120,6,FALSE),"NY")</f>
        <v>NY</v>
      </c>
      <c r="H229" s="2" t="str">
        <f>IFERROR(VLOOKUP(D229,[3]Bai3_VuotQua!$D$8:$I$122,6,FALSE),"NY")</f>
        <v>NY</v>
      </c>
      <c r="I229" s="2" t="str">
        <f>IFERROR(VLOOKUP(D229,[3]Bai4_VuotQua!$D$8:$I$117,6,FALSE),"NY")</f>
        <v>NY</v>
      </c>
      <c r="J229" s="2" t="str">
        <f t="shared" si="3"/>
        <v>NY</v>
      </c>
      <c r="K229" s="2" t="str">
        <f>VLOOKUP($D229,[1]Bai1_View!$E$2:$J$177,5,FALSE)</f>
        <v>HCM</v>
      </c>
      <c r="L229" s="2" t="str">
        <f>VLOOKUP($D229,[1]Bai1_View!$E$2:$J$177,6,FALSE)</f>
        <v>A. Tri</v>
      </c>
      <c r="M229" s="2">
        <f>IFERROR(VLOOKUP(D229,[2]Hồng!$D$1:$M$21,10,FALSE),0)</f>
        <v>0</v>
      </c>
    </row>
    <row r="230" spans="1:13" x14ac:dyDescent="0.25">
      <c r="A230" s="2">
        <v>228</v>
      </c>
      <c r="B230" s="2" t="s">
        <v>934</v>
      </c>
      <c r="C230" s="2" t="s">
        <v>935</v>
      </c>
      <c r="D230" s="2" t="s">
        <v>936</v>
      </c>
      <c r="E230" s="2" t="s">
        <v>937</v>
      </c>
      <c r="F230" s="2" t="str">
        <f>IFERROR(VLOOKUP(D230,[3]Bai1_VuotQua!$D$8:$I$143,6,FALSE),"NY")</f>
        <v>NY</v>
      </c>
      <c r="G230" s="2" t="str">
        <f>IFERROR(VLOOKUP(D230,[3]Bai2_VuotQua!$D$8:$I$120,6,FALSE),"NY")</f>
        <v>NY</v>
      </c>
      <c r="H230" s="2" t="str">
        <f>IFERROR(VLOOKUP(D230,[3]Bai3_VuotQua!$D$8:$I$122,6,FALSE),"NY")</f>
        <v>NY</v>
      </c>
      <c r="I230" s="2" t="str">
        <f>IFERROR(VLOOKUP(D230,[3]Bai4_VuotQua!$D$8:$I$117,6,FALSE),"NY")</f>
        <v>NY</v>
      </c>
      <c r="J230" s="2" t="str">
        <f t="shared" si="3"/>
        <v>NY</v>
      </c>
      <c r="K230" s="2" t="str">
        <f>VLOOKUP($D230,[1]Bai1_View!$E$2:$J$177,5,FALSE)</f>
        <v>HCM</v>
      </c>
      <c r="L230" s="2" t="str">
        <f>VLOOKUP($D230,[1]Bai1_View!$E$2:$J$177,6,FALSE)</f>
        <v>A. Tri</v>
      </c>
      <c r="M230" s="2">
        <f>IFERROR(VLOOKUP(D230,[2]Hồng!$D$1:$M$21,10,FALSE),0)</f>
        <v>0</v>
      </c>
    </row>
    <row r="231" spans="1:13" x14ac:dyDescent="0.25">
      <c r="A231" s="2">
        <v>229</v>
      </c>
      <c r="B231" s="2" t="s">
        <v>938</v>
      </c>
      <c r="C231" s="2" t="s">
        <v>939</v>
      </c>
      <c r="D231" s="2" t="s">
        <v>940</v>
      </c>
      <c r="E231" s="2" t="s">
        <v>941</v>
      </c>
      <c r="F231" s="2" t="str">
        <f>IFERROR(VLOOKUP(D231,[3]Bai1_VuotQua!$D$8:$I$143,6,FALSE),"NY")</f>
        <v>done</v>
      </c>
      <c r="G231" s="2" t="str">
        <f>IFERROR(VLOOKUP(D231,[3]Bai2_VuotQua!$D$8:$I$120,6,FALSE),"NY")</f>
        <v>done</v>
      </c>
      <c r="H231" s="2" t="str">
        <f>IFERROR(VLOOKUP(D231,[3]Bai3_VuotQua!$D$8:$I$122,6,FALSE),"NY")</f>
        <v>done</v>
      </c>
      <c r="I231" s="2" t="str">
        <f>IFERROR(VLOOKUP(D231,[3]Bai4_VuotQua!$D$8:$I$117,6,FALSE),"NY")</f>
        <v>NY</v>
      </c>
      <c r="J231" s="2" t="str">
        <f t="shared" si="3"/>
        <v>done 3 lession</v>
      </c>
      <c r="K231" s="2" t="str">
        <f>VLOOKUP($D231,[1]Bai1_View!$E$2:$J$177,5,FALSE)</f>
        <v>HCM</v>
      </c>
      <c r="L231" s="2" t="str">
        <f>VLOOKUP($D231,[1]Bai1_View!$E$2:$J$177,6,FALSE)</f>
        <v>A. Tri</v>
      </c>
      <c r="M231" s="2">
        <f>IFERROR(VLOOKUP(D231,[2]Hồng!$D$1:$M$21,10,FALSE),0)</f>
        <v>0</v>
      </c>
    </row>
    <row r="232" spans="1:13" x14ac:dyDescent="0.25">
      <c r="A232" s="2">
        <v>230</v>
      </c>
      <c r="B232" s="2" t="s">
        <v>942</v>
      </c>
      <c r="C232" s="2" t="s">
        <v>943</v>
      </c>
      <c r="D232" s="2" t="s">
        <v>944</v>
      </c>
      <c r="E232" s="2" t="s">
        <v>945</v>
      </c>
      <c r="F232" s="2" t="str">
        <f>IFERROR(VLOOKUP(D232,[3]Bai1_VuotQua!$D$8:$I$143,6,FALSE),"NY")</f>
        <v>NY</v>
      </c>
      <c r="G232" s="2" t="str">
        <f>IFERROR(VLOOKUP(D232,[3]Bai2_VuotQua!$D$8:$I$120,6,FALSE),"NY")</f>
        <v>NY</v>
      </c>
      <c r="H232" s="2" t="str">
        <f>IFERROR(VLOOKUP(D232,[3]Bai3_VuotQua!$D$8:$I$122,6,FALSE),"NY")</f>
        <v>NY</v>
      </c>
      <c r="I232" s="2" t="str">
        <f>IFERROR(VLOOKUP(D232,[3]Bai4_VuotQua!$D$8:$I$117,6,FALSE),"NY")</f>
        <v>NY</v>
      </c>
      <c r="J232" s="2" t="str">
        <f t="shared" si="3"/>
        <v>NY</v>
      </c>
      <c r="K232" s="2" t="str">
        <f>VLOOKUP($D232,[1]Bai1_View!$E$2:$J$177,5,FALSE)</f>
        <v>An Giang</v>
      </c>
      <c r="L232" s="2" t="str">
        <f>VLOOKUP($D232,[1]Bai1_View!$E$2:$J$177,6,FALSE)</f>
        <v>A. Tho</v>
      </c>
      <c r="M232" s="2">
        <f>IFERROR(VLOOKUP(D232,[2]Hồng!$D$1:$M$21,10,FALSE),0)</f>
        <v>0</v>
      </c>
    </row>
    <row r="233" spans="1:13" x14ac:dyDescent="0.25">
      <c r="A233" s="2">
        <v>231</v>
      </c>
      <c r="B233" s="2" t="s">
        <v>946</v>
      </c>
      <c r="C233" s="2" t="s">
        <v>947</v>
      </c>
      <c r="D233" s="2" t="s">
        <v>948</v>
      </c>
      <c r="E233" s="2" t="s">
        <v>949</v>
      </c>
      <c r="F233" s="2" t="str">
        <f>IFERROR(VLOOKUP(D233,[3]Bai1_VuotQua!$D$8:$I$143,6,FALSE),"NY")</f>
        <v>done</v>
      </c>
      <c r="G233" s="2" t="str">
        <f>IFERROR(VLOOKUP(D233,[3]Bai2_VuotQua!$D$8:$I$120,6,FALSE),"NY")</f>
        <v>done</v>
      </c>
      <c r="H233" s="2" t="str">
        <f>IFERROR(VLOOKUP(D233,[3]Bai3_VuotQua!$D$8:$I$122,6,FALSE),"NY")</f>
        <v>done</v>
      </c>
      <c r="I233" s="2" t="str">
        <f>IFERROR(VLOOKUP(D233,[3]Bai4_VuotQua!$D$8:$I$117,6,FALSE),"NY")</f>
        <v>done</v>
      </c>
      <c r="J233" s="2" t="str">
        <f t="shared" si="3"/>
        <v>done all</v>
      </c>
      <c r="K233" s="2" t="s">
        <v>27</v>
      </c>
      <c r="L233" s="2" t="s">
        <v>20</v>
      </c>
      <c r="M233" s="2">
        <f>IFERROR(VLOOKUP(D233,[2]Hồng!$D$1:$M$21,10,FALSE),0)</f>
        <v>0</v>
      </c>
    </row>
    <row r="234" spans="1:13" x14ac:dyDescent="0.25">
      <c r="A234" s="2">
        <v>232</v>
      </c>
      <c r="B234" s="2" t="s">
        <v>950</v>
      </c>
      <c r="C234" s="2" t="s">
        <v>951</v>
      </c>
      <c r="D234" s="2" t="s">
        <v>952</v>
      </c>
      <c r="E234" s="2" t="s">
        <v>953</v>
      </c>
      <c r="F234" s="2" t="str">
        <f>IFERROR(VLOOKUP(D234,[3]Bai1_VuotQua!$D$8:$I$143,6,FALSE),"NY")</f>
        <v>done</v>
      </c>
      <c r="G234" s="2" t="str">
        <f>IFERROR(VLOOKUP(D234,[3]Bai2_VuotQua!$D$8:$I$120,6,FALSE),"NY")</f>
        <v>done</v>
      </c>
      <c r="H234" s="2" t="str">
        <f>IFERROR(VLOOKUP(D234,[3]Bai3_VuotQua!$D$8:$I$122,6,FALSE),"NY")</f>
        <v>done</v>
      </c>
      <c r="I234" s="2" t="str">
        <f>IFERROR(VLOOKUP(D234,[3]Bai4_VuotQua!$D$8:$I$117,6,FALSE),"NY")</f>
        <v>done</v>
      </c>
      <c r="J234" s="2" t="str">
        <f t="shared" si="3"/>
        <v>done all</v>
      </c>
      <c r="K234" s="2" t="s">
        <v>125</v>
      </c>
      <c r="L234" s="2" t="s">
        <v>19</v>
      </c>
      <c r="M234" s="2">
        <f>IFERROR(VLOOKUP(D234,[2]Hồng!$D$1:$M$21,10,FALSE),0)</f>
        <v>0</v>
      </c>
    </row>
    <row r="235" spans="1:13" x14ac:dyDescent="0.25">
      <c r="A235" s="2">
        <v>233</v>
      </c>
      <c r="B235" s="2" t="s">
        <v>954</v>
      </c>
      <c r="C235" s="2" t="s">
        <v>955</v>
      </c>
      <c r="D235" s="2" t="s">
        <v>956</v>
      </c>
      <c r="E235" s="2" t="s">
        <v>957</v>
      </c>
      <c r="F235" s="2" t="str">
        <f>IFERROR(VLOOKUP(D235,[3]Bai1_VuotQua!$D$8:$I$143,6,FALSE),"NY")</f>
        <v>NY</v>
      </c>
      <c r="G235" s="2" t="str">
        <f>IFERROR(VLOOKUP(D235,[3]Bai2_VuotQua!$D$8:$I$120,6,FALSE),"NY")</f>
        <v>NY</v>
      </c>
      <c r="H235" s="2" t="str">
        <f>IFERROR(VLOOKUP(D235,[3]Bai3_VuotQua!$D$8:$I$122,6,FALSE),"NY")</f>
        <v>NY</v>
      </c>
      <c r="I235" s="2" t="str">
        <f>IFERROR(VLOOKUP(D235,[3]Bai4_VuotQua!$D$8:$I$117,6,FALSE),"NY")</f>
        <v>NY</v>
      </c>
      <c r="J235" s="2" t="str">
        <f t="shared" si="3"/>
        <v>NY</v>
      </c>
      <c r="K235" s="2" t="str">
        <f>VLOOKUP($D235,[1]Bai1_View!$E$2:$J$177,5,FALSE)</f>
        <v>HCM</v>
      </c>
      <c r="L235" s="2" t="str">
        <f>VLOOKUP($D235,[1]Bai1_View!$E$2:$J$177,6,FALSE)</f>
        <v>A. Tri</v>
      </c>
      <c r="M235" s="2">
        <f>IFERROR(VLOOKUP(D235,[2]Hồng!$D$1:$M$21,10,FALSE),0)</f>
        <v>0</v>
      </c>
    </row>
    <row r="236" spans="1:13" x14ac:dyDescent="0.25">
      <c r="A236" s="2">
        <v>234</v>
      </c>
      <c r="B236" s="2" t="s">
        <v>958</v>
      </c>
      <c r="C236" s="2" t="s">
        <v>959</v>
      </c>
      <c r="D236" s="2" t="s">
        <v>960</v>
      </c>
      <c r="E236" s="2" t="s">
        <v>961</v>
      </c>
      <c r="F236" s="2" t="str">
        <f>IFERROR(VLOOKUP(D236,[3]Bai1_VuotQua!$D$8:$I$143,6,FALSE),"NY")</f>
        <v>done</v>
      </c>
      <c r="G236" s="2" t="str">
        <f>IFERROR(VLOOKUP(D236,[3]Bai2_VuotQua!$D$8:$I$120,6,FALSE),"NY")</f>
        <v>done</v>
      </c>
      <c r="H236" s="2" t="str">
        <f>IFERROR(VLOOKUP(D236,[3]Bai3_VuotQua!$D$8:$I$122,6,FALSE),"NY")</f>
        <v>NY</v>
      </c>
      <c r="I236" s="2" t="str">
        <f>IFERROR(VLOOKUP(D236,[3]Bai4_VuotQua!$D$8:$I$117,6,FALSE),"NY")</f>
        <v>done</v>
      </c>
      <c r="J236" s="2" t="str">
        <f t="shared" si="3"/>
        <v>done 3 lession</v>
      </c>
      <c r="K236" s="2" t="str">
        <f>VLOOKUP($D236,[1]Bai1_View!$E$2:$J$177,5,FALSE)</f>
        <v>Đồng Nai</v>
      </c>
      <c r="L236" s="2" t="str">
        <f>VLOOKUP($D236,[1]Bai1_View!$E$2:$J$177,6,FALSE)</f>
        <v>A. Tho</v>
      </c>
      <c r="M236" s="2">
        <f>IFERROR(VLOOKUP(D236,[2]Hồng!$D$1:$M$21,10,FALSE),0)</f>
        <v>0</v>
      </c>
    </row>
    <row r="237" spans="1:13" x14ac:dyDescent="0.25">
      <c r="A237" s="2">
        <v>235</v>
      </c>
      <c r="B237" s="2" t="s">
        <v>962</v>
      </c>
      <c r="C237" s="2" t="s">
        <v>963</v>
      </c>
      <c r="D237" s="2" t="s">
        <v>964</v>
      </c>
      <c r="E237" s="2" t="s">
        <v>965</v>
      </c>
      <c r="F237" s="2" t="str">
        <f>IFERROR(VLOOKUP(D237,[3]Bai1_VuotQua!$D$8:$I$143,6,FALSE),"NY")</f>
        <v>done</v>
      </c>
      <c r="G237" s="2" t="str">
        <f>IFERROR(VLOOKUP(D237,[3]Bai2_VuotQua!$D$8:$I$120,6,FALSE),"NY")</f>
        <v>done</v>
      </c>
      <c r="H237" s="2" t="str">
        <f>IFERROR(VLOOKUP(D237,[3]Bai3_VuotQua!$D$8:$I$122,6,FALSE),"NY")</f>
        <v>NY</v>
      </c>
      <c r="I237" s="2" t="str">
        <f>IFERROR(VLOOKUP(D237,[3]Bai4_VuotQua!$D$8:$I$117,6,FALSE),"NY")</f>
        <v>done</v>
      </c>
      <c r="J237" s="2" t="str">
        <f t="shared" si="3"/>
        <v>done 3 lession</v>
      </c>
      <c r="K237" s="2" t="s">
        <v>27</v>
      </c>
      <c r="L237" s="2" t="s">
        <v>20</v>
      </c>
      <c r="M237" s="2">
        <f>IFERROR(VLOOKUP(D237,[2]Hồng!$D$1:$M$21,10,FALSE),0)</f>
        <v>0</v>
      </c>
    </row>
    <row r="238" spans="1:13" x14ac:dyDescent="0.25">
      <c r="A238" s="2">
        <v>236</v>
      </c>
      <c r="B238" s="2" t="s">
        <v>966</v>
      </c>
      <c r="C238" s="2" t="s">
        <v>967</v>
      </c>
      <c r="D238" s="2" t="s">
        <v>968</v>
      </c>
      <c r="E238" s="2" t="s">
        <v>969</v>
      </c>
      <c r="F238" s="2" t="str">
        <f>IFERROR(VLOOKUP(D238,[3]Bai1_VuotQua!$D$8:$I$143,6,FALSE),"NY")</f>
        <v>done</v>
      </c>
      <c r="G238" s="2" t="str">
        <f>IFERROR(VLOOKUP(D238,[3]Bai2_VuotQua!$D$8:$I$120,6,FALSE),"NY")</f>
        <v>done</v>
      </c>
      <c r="H238" s="2" t="str">
        <f>IFERROR(VLOOKUP(D238,[3]Bai3_VuotQua!$D$8:$I$122,6,FALSE),"NY")</f>
        <v>done</v>
      </c>
      <c r="I238" s="2" t="str">
        <f>IFERROR(VLOOKUP(D238,[3]Bai4_VuotQua!$D$8:$I$117,6,FALSE),"NY")</f>
        <v>done</v>
      </c>
      <c r="J238" s="2" t="str">
        <f t="shared" si="3"/>
        <v>done all</v>
      </c>
      <c r="K238" s="2" t="str">
        <f>VLOOKUP($D238,[1]Bai1_View!$E$2:$J$177,5,FALSE)</f>
        <v>Đồng Nai</v>
      </c>
      <c r="L238" s="2" t="str">
        <f>VLOOKUP($D238,[1]Bai1_View!$E$2:$J$177,6,FALSE)</f>
        <v>A. Tho</v>
      </c>
      <c r="M238" s="2">
        <f>IFERROR(VLOOKUP(D238,[2]Hồng!$D$1:$M$21,10,FALSE),0)</f>
        <v>0</v>
      </c>
    </row>
    <row r="239" spans="1:13" x14ac:dyDescent="0.25">
      <c r="A239" s="2">
        <v>237</v>
      </c>
      <c r="B239" s="2" t="s">
        <v>970</v>
      </c>
      <c r="C239" s="2" t="s">
        <v>971</v>
      </c>
      <c r="D239" s="2" t="s">
        <v>972</v>
      </c>
      <c r="E239" s="2" t="s">
        <v>973</v>
      </c>
      <c r="F239" s="2" t="str">
        <f>IFERROR(VLOOKUP(D239,[3]Bai1_VuotQua!$D$8:$I$143,6,FALSE),"NY")</f>
        <v>done</v>
      </c>
      <c r="G239" s="2" t="str">
        <f>IFERROR(VLOOKUP(D239,[3]Bai2_VuotQua!$D$8:$I$120,6,FALSE),"NY")</f>
        <v>done</v>
      </c>
      <c r="H239" s="2" t="str">
        <f>IFERROR(VLOOKUP(D239,[3]Bai3_VuotQua!$D$8:$I$122,6,FALSE),"NY")</f>
        <v>done</v>
      </c>
      <c r="I239" s="2" t="str">
        <f>IFERROR(VLOOKUP(D239,[3]Bai4_VuotQua!$D$8:$I$117,6,FALSE),"NY")</f>
        <v>done</v>
      </c>
      <c r="J239" s="2" t="s">
        <v>45</v>
      </c>
      <c r="K239" s="2" t="str">
        <f>VLOOKUP($D239,[1]Bai1_View!$E$2:$J$177,5,FALSE)</f>
        <v>HN</v>
      </c>
      <c r="L239" s="2" t="str">
        <f>VLOOKUP($D239,[1]Bai1_View!$E$2:$J$177,6,FALSE)</f>
        <v>C. Quy</v>
      </c>
      <c r="M239" s="2" t="str">
        <f>IFERROR(VLOOKUP(D239,[2]Hồng!$D$1:$M$21,10,FALSE),0)</f>
        <v>Đã học xong hôm nay 8/1/2020</v>
      </c>
    </row>
    <row r="240" spans="1:13" x14ac:dyDescent="0.25">
      <c r="A240" s="2">
        <v>238</v>
      </c>
      <c r="B240" s="2" t="s">
        <v>974</v>
      </c>
      <c r="C240" s="2" t="s">
        <v>975</v>
      </c>
      <c r="D240" s="2" t="s">
        <v>976</v>
      </c>
      <c r="E240" s="2" t="s">
        <v>977</v>
      </c>
      <c r="F240" s="2" t="str">
        <f>IFERROR(VLOOKUP(D240,[3]Bai1_VuotQua!$D$8:$I$143,6,FALSE),"NY")</f>
        <v>NY</v>
      </c>
      <c r="G240" s="2" t="str">
        <f>IFERROR(VLOOKUP(D240,[3]Bai2_VuotQua!$D$8:$I$120,6,FALSE),"NY")</f>
        <v>NY</v>
      </c>
      <c r="H240" s="2" t="str">
        <f>IFERROR(VLOOKUP(D240,[3]Bai3_VuotQua!$D$8:$I$122,6,FALSE),"NY")</f>
        <v>NY</v>
      </c>
      <c r="I240" s="2" t="str">
        <f>IFERROR(VLOOKUP(D240,[3]Bai4_VuotQua!$D$8:$I$117,6,FALSE),"NY")</f>
        <v>NY</v>
      </c>
      <c r="J240" s="2" t="str">
        <f t="shared" si="3"/>
        <v>NY</v>
      </c>
      <c r="K240" s="2" t="str">
        <f>VLOOKUP($D240,[1]Bai1_View!$E$2:$J$177,5,FALSE)</f>
        <v>HCM</v>
      </c>
      <c r="L240" s="2" t="str">
        <f>VLOOKUP($D240,[1]Bai1_View!$E$2:$J$177,6,FALSE)</f>
        <v>A. Tri</v>
      </c>
      <c r="M240" s="2">
        <f>IFERROR(VLOOKUP(D240,[2]Hồng!$D$1:$M$21,10,FALSE),0)</f>
        <v>0</v>
      </c>
    </row>
    <row r="241" spans="1:13" x14ac:dyDescent="0.25">
      <c r="A241" s="2">
        <v>239</v>
      </c>
      <c r="B241" s="2" t="s">
        <v>978</v>
      </c>
      <c r="C241" s="2" t="s">
        <v>979</v>
      </c>
      <c r="D241" s="2" t="s">
        <v>980</v>
      </c>
      <c r="E241" s="2" t="s">
        <v>981</v>
      </c>
      <c r="F241" s="2" t="str">
        <f>IFERROR(VLOOKUP(D241,[3]Bai1_VuotQua!$D$8:$I$143,6,FALSE),"NY")</f>
        <v>NY</v>
      </c>
      <c r="G241" s="2" t="str">
        <f>IFERROR(VLOOKUP(D241,[3]Bai2_VuotQua!$D$8:$I$120,6,FALSE),"NY")</f>
        <v>NY</v>
      </c>
      <c r="H241" s="2" t="str">
        <f>IFERROR(VLOOKUP(D241,[3]Bai3_VuotQua!$D$8:$I$122,6,FALSE),"NY")</f>
        <v>NY</v>
      </c>
      <c r="I241" s="2" t="str">
        <f>IFERROR(VLOOKUP(D241,[3]Bai4_VuotQua!$D$8:$I$117,6,FALSE),"NY")</f>
        <v>NY</v>
      </c>
      <c r="J241" s="2" t="str">
        <f t="shared" si="3"/>
        <v>NY</v>
      </c>
      <c r="K241" s="2" t="str">
        <f>VLOOKUP($D241,[1]Bai1_View!$E$2:$J$177,5,FALSE)</f>
        <v>Đăk Lăk</v>
      </c>
      <c r="L241" s="2" t="str">
        <f>VLOOKUP($D241,[1]Bai1_View!$E$2:$J$177,6,FALSE)</f>
        <v>A. Tho</v>
      </c>
      <c r="M241" s="2">
        <f>IFERROR(VLOOKUP(D241,[2]Hồng!$D$1:$M$21,10,FALSE),0)</f>
        <v>0</v>
      </c>
    </row>
    <row r="242" spans="1:13" x14ac:dyDescent="0.25">
      <c r="A242" s="2">
        <v>240</v>
      </c>
      <c r="B242" s="2" t="s">
        <v>982</v>
      </c>
      <c r="C242" s="2" t="s">
        <v>983</v>
      </c>
      <c r="D242" s="2" t="s">
        <v>984</v>
      </c>
      <c r="E242" s="2" t="s">
        <v>985</v>
      </c>
      <c r="F242" s="2" t="str">
        <f>IFERROR(VLOOKUP(D242,[3]Bai1_VuotQua!$D$8:$I$143,6,FALSE),"NY")</f>
        <v>done</v>
      </c>
      <c r="G242" s="2" t="str">
        <f>IFERROR(VLOOKUP(D242,[3]Bai2_VuotQua!$D$8:$I$120,6,FALSE),"NY")</f>
        <v>done</v>
      </c>
      <c r="H242" s="2" t="str">
        <f>IFERROR(VLOOKUP(D242,[3]Bai3_VuotQua!$D$8:$I$122,6,FALSE),"NY")</f>
        <v>done</v>
      </c>
      <c r="I242" s="2" t="str">
        <f>IFERROR(VLOOKUP(D242,[3]Bai4_VuotQua!$D$8:$I$117,6,FALSE),"NY")</f>
        <v>done</v>
      </c>
      <c r="J242" s="2" t="str">
        <f t="shared" si="3"/>
        <v>done all</v>
      </c>
      <c r="K242" s="2" t="str">
        <f>VLOOKUP($D242,[1]Bai1_View!$E$2:$J$177,5,FALSE)</f>
        <v>Đồng Nai</v>
      </c>
      <c r="L242" s="2" t="str">
        <f>VLOOKUP($D242,[1]Bai1_View!$E$2:$J$177,6,FALSE)</f>
        <v>A. Tho</v>
      </c>
      <c r="M242" s="2">
        <f>IFERROR(VLOOKUP(D242,[2]Hồng!$D$1:$M$21,10,FALSE),0)</f>
        <v>0</v>
      </c>
    </row>
    <row r="243" spans="1:13" x14ac:dyDescent="0.25">
      <c r="A243" s="2">
        <v>241</v>
      </c>
      <c r="B243" s="2" t="s">
        <v>986</v>
      </c>
      <c r="C243" s="2" t="s">
        <v>987</v>
      </c>
      <c r="D243" s="2" t="s">
        <v>988</v>
      </c>
      <c r="E243" s="2" t="s">
        <v>989</v>
      </c>
      <c r="F243" s="2" t="str">
        <f>IFERROR(VLOOKUP(D243,[3]Bai1_VuotQua!$D$8:$I$143,6,FALSE),"NY")</f>
        <v>done</v>
      </c>
      <c r="G243" s="2" t="str">
        <f>IFERROR(VLOOKUP(D243,[3]Bai2_VuotQua!$D$8:$I$120,6,FALSE),"NY")</f>
        <v>done</v>
      </c>
      <c r="H243" s="2" t="str">
        <f>IFERROR(VLOOKUP(D243,[3]Bai3_VuotQua!$D$8:$I$122,6,FALSE),"NY")</f>
        <v>done</v>
      </c>
      <c r="I243" s="2" t="str">
        <f>IFERROR(VLOOKUP(D243,[3]Bai4_VuotQua!$D$8:$I$117,6,FALSE),"NY")</f>
        <v>done</v>
      </c>
      <c r="J243" s="2" t="str">
        <f t="shared" si="3"/>
        <v>done all</v>
      </c>
      <c r="K243" s="2" t="str">
        <f>VLOOKUP($D243,[1]Bai1_View!$E$2:$J$177,5,FALSE)</f>
        <v>HN</v>
      </c>
      <c r="L243" s="2" t="str">
        <f>VLOOKUP($D243,[1]Bai1_View!$E$2:$J$177,6,FALSE)</f>
        <v>C. Quy</v>
      </c>
      <c r="M243" s="2">
        <f>IFERROR(VLOOKUP(D243,[2]Hồng!$D$1:$M$21,10,FALSE),0)</f>
        <v>0</v>
      </c>
    </row>
    <row r="244" spans="1:13" x14ac:dyDescent="0.25">
      <c r="A244" s="2">
        <v>242</v>
      </c>
      <c r="B244" s="2" t="s">
        <v>990</v>
      </c>
      <c r="C244" s="2" t="s">
        <v>991</v>
      </c>
      <c r="D244" s="2" t="s">
        <v>992</v>
      </c>
      <c r="E244" s="2" t="s">
        <v>993</v>
      </c>
      <c r="F244" s="2" t="str">
        <f>IFERROR(VLOOKUP(D244,[3]Bai1_VuotQua!$D$8:$I$143,6,FALSE),"NY")</f>
        <v>NY</v>
      </c>
      <c r="G244" s="2" t="str">
        <f>IFERROR(VLOOKUP(D244,[3]Bai2_VuotQua!$D$8:$I$120,6,FALSE),"NY")</f>
        <v>NY</v>
      </c>
      <c r="H244" s="2" t="str">
        <f>IFERROR(VLOOKUP(D244,[3]Bai3_VuotQua!$D$8:$I$122,6,FALSE),"NY")</f>
        <v>NY</v>
      </c>
      <c r="I244" s="2" t="str">
        <f>IFERROR(VLOOKUP(D244,[3]Bai4_VuotQua!$D$8:$I$117,6,FALSE),"NY")</f>
        <v>NY</v>
      </c>
      <c r="J244" s="2" t="str">
        <f t="shared" si="3"/>
        <v>NY</v>
      </c>
      <c r="K244" s="2" t="s">
        <v>91</v>
      </c>
      <c r="L244" s="2" t="s">
        <v>18</v>
      </c>
      <c r="M244" s="2">
        <f>IFERROR(VLOOKUP(D244,[2]Hồng!$D$1:$M$21,10,FALSE),0)</f>
        <v>0</v>
      </c>
    </row>
    <row r="245" spans="1:13" x14ac:dyDescent="0.25">
      <c r="A245" s="2">
        <v>243</v>
      </c>
      <c r="B245" s="2" t="s">
        <v>994</v>
      </c>
      <c r="C245" s="2" t="s">
        <v>995</v>
      </c>
      <c r="D245" s="2" t="s">
        <v>996</v>
      </c>
      <c r="E245" s="2" t="s">
        <v>997</v>
      </c>
      <c r="F245" s="2" t="str">
        <f>IFERROR(VLOOKUP(D245,[3]Bai1_VuotQua!$D$8:$I$143,6,FALSE),"NY")</f>
        <v>done</v>
      </c>
      <c r="G245" s="2" t="str">
        <f>IFERROR(VLOOKUP(D245,[3]Bai2_VuotQua!$D$8:$I$120,6,FALSE),"NY")</f>
        <v>done</v>
      </c>
      <c r="H245" s="2" t="str">
        <f>IFERROR(VLOOKUP(D245,[3]Bai3_VuotQua!$D$8:$I$122,6,FALSE),"NY")</f>
        <v>done</v>
      </c>
      <c r="I245" s="2" t="str">
        <f>IFERROR(VLOOKUP(D245,[3]Bai4_VuotQua!$D$8:$I$117,6,FALSE),"NY")</f>
        <v>done</v>
      </c>
      <c r="J245" s="2" t="str">
        <f t="shared" si="3"/>
        <v>done all</v>
      </c>
      <c r="K245" s="2" t="str">
        <f>VLOOKUP($D245,[1]Bai1_View!$E$2:$J$177,5,FALSE)</f>
        <v>HCM</v>
      </c>
      <c r="L245" s="2" t="str">
        <f>VLOOKUP($D245,[1]Bai1_View!$E$2:$J$177,6,FALSE)</f>
        <v>A. Tri</v>
      </c>
      <c r="M245" s="2">
        <f>IFERROR(VLOOKUP(D245,[2]Hồng!$D$1:$M$21,10,FALSE),0)</f>
        <v>0</v>
      </c>
    </row>
    <row r="246" spans="1:13" x14ac:dyDescent="0.25">
      <c r="A246" s="2">
        <v>244</v>
      </c>
      <c r="B246" s="2" t="s">
        <v>998</v>
      </c>
      <c r="C246" s="2" t="s">
        <v>999</v>
      </c>
      <c r="D246" s="2" t="s">
        <v>1000</v>
      </c>
      <c r="E246" s="2" t="s">
        <v>1001</v>
      </c>
      <c r="F246" s="2" t="str">
        <f>IFERROR(VLOOKUP(D246,[3]Bai1_VuotQua!$D$8:$I$143,6,FALSE),"NY")</f>
        <v>done</v>
      </c>
      <c r="G246" s="2" t="str">
        <f>IFERROR(VLOOKUP(D246,[3]Bai2_VuotQua!$D$8:$I$120,6,FALSE),"NY")</f>
        <v>done</v>
      </c>
      <c r="H246" s="2" t="str">
        <f>IFERROR(VLOOKUP(D246,[3]Bai3_VuotQua!$D$8:$I$122,6,FALSE),"NY")</f>
        <v>done</v>
      </c>
      <c r="I246" s="2" t="str">
        <f>IFERROR(VLOOKUP(D246,[3]Bai4_VuotQua!$D$8:$I$117,6,FALSE),"NY")</f>
        <v>done</v>
      </c>
      <c r="J246" s="2" t="str">
        <f t="shared" si="3"/>
        <v>done all</v>
      </c>
      <c r="K246" s="2" t="str">
        <f>VLOOKUP($D246,[1]Bai1_View!$E$2:$J$177,5,FALSE)</f>
        <v>Đồng Nai</v>
      </c>
      <c r="L246" s="2" t="str">
        <f>VLOOKUP($D246,[1]Bai1_View!$E$2:$J$177,6,FALSE)</f>
        <v>A. Tho</v>
      </c>
      <c r="M246" s="2">
        <f>IFERROR(VLOOKUP(D246,[2]Hồng!$D$1:$M$21,10,FALSE),0)</f>
        <v>0</v>
      </c>
    </row>
    <row r="247" spans="1:13" x14ac:dyDescent="0.25">
      <c r="A247" s="2">
        <v>245</v>
      </c>
      <c r="B247" s="2" t="s">
        <v>1002</v>
      </c>
      <c r="C247" s="2" t="s">
        <v>1003</v>
      </c>
      <c r="D247" s="2" t="s">
        <v>1004</v>
      </c>
      <c r="E247" s="2" t="s">
        <v>1005</v>
      </c>
      <c r="F247" s="2" t="str">
        <f>IFERROR(VLOOKUP(D247,[3]Bai1_VuotQua!$D$8:$I$143,6,FALSE),"NY")</f>
        <v>done</v>
      </c>
      <c r="G247" s="2" t="str">
        <f>IFERROR(VLOOKUP(D247,[3]Bai2_VuotQua!$D$8:$I$120,6,FALSE),"NY")</f>
        <v>done</v>
      </c>
      <c r="H247" s="2" t="str">
        <f>IFERROR(VLOOKUP(D247,[3]Bai3_VuotQua!$D$8:$I$122,6,FALSE),"NY")</f>
        <v>done</v>
      </c>
      <c r="I247" s="2" t="str">
        <f>IFERROR(VLOOKUP(D247,[3]Bai4_VuotQua!$D$8:$I$117,6,FALSE),"NY")</f>
        <v>done</v>
      </c>
      <c r="J247" s="2" t="str">
        <f t="shared" si="3"/>
        <v>done all</v>
      </c>
      <c r="K247" s="2" t="str">
        <f>VLOOKUP($D247,[1]Bai1_View!$E$2:$J$177,5,FALSE)</f>
        <v>HCM</v>
      </c>
      <c r="L247" s="2" t="str">
        <f>VLOOKUP($D247,[1]Bai1_View!$E$2:$J$177,6,FALSE)</f>
        <v>A. Tri</v>
      </c>
      <c r="M247" s="2">
        <f>IFERROR(VLOOKUP(D247,[2]Hồng!$D$1:$M$21,10,FALSE),0)</f>
        <v>0</v>
      </c>
    </row>
    <row r="248" spans="1:13" x14ac:dyDescent="0.25">
      <c r="A248" s="2">
        <v>246</v>
      </c>
      <c r="B248" s="2" t="s">
        <v>1006</v>
      </c>
      <c r="C248" s="2" t="s">
        <v>1007</v>
      </c>
      <c r="D248" s="2" t="s">
        <v>1008</v>
      </c>
      <c r="E248" s="2" t="s">
        <v>1009</v>
      </c>
      <c r="F248" s="2" t="str">
        <f>IFERROR(VLOOKUP(D248,[3]Bai1_VuotQua!$D$8:$I$143,6,FALSE),"NY")</f>
        <v>done</v>
      </c>
      <c r="G248" s="2" t="str">
        <f>IFERROR(VLOOKUP(D248,[3]Bai2_VuotQua!$D$8:$I$120,6,FALSE),"NY")</f>
        <v>done</v>
      </c>
      <c r="H248" s="2" t="str">
        <f>IFERROR(VLOOKUP(D248,[3]Bai3_VuotQua!$D$8:$I$122,6,FALSE),"NY")</f>
        <v>done</v>
      </c>
      <c r="I248" s="2" t="str">
        <f>IFERROR(VLOOKUP(D248,[3]Bai4_VuotQua!$D$8:$I$117,6,FALSE),"NY")</f>
        <v>done</v>
      </c>
      <c r="J248" s="2" t="str">
        <f t="shared" si="3"/>
        <v>done all</v>
      </c>
      <c r="K248" s="2" t="str">
        <f>VLOOKUP($D248,[1]Bai1_View!$E$2:$J$177,5,FALSE)</f>
        <v>HCM</v>
      </c>
      <c r="L248" s="2" t="str">
        <f>VLOOKUP($D248,[1]Bai1_View!$E$2:$J$177,6,FALSE)</f>
        <v>A. Tri</v>
      </c>
      <c r="M248" s="2">
        <f>IFERROR(VLOOKUP(D248,[2]Hồng!$D$1:$M$21,10,FALSE),0)</f>
        <v>0</v>
      </c>
    </row>
    <row r="249" spans="1:13" x14ac:dyDescent="0.25">
      <c r="A249" s="2">
        <v>247</v>
      </c>
      <c r="B249" s="2" t="s">
        <v>934</v>
      </c>
      <c r="C249" s="2" t="s">
        <v>1010</v>
      </c>
      <c r="D249" s="2" t="s">
        <v>1011</v>
      </c>
      <c r="E249" s="2" t="s">
        <v>1012</v>
      </c>
      <c r="F249" s="2" t="str">
        <f>IFERROR(VLOOKUP(D249,[3]Bai1_VuotQua!$D$8:$I$143,6,FALSE),"NY")</f>
        <v>done</v>
      </c>
      <c r="G249" s="2" t="str">
        <f>IFERROR(VLOOKUP(D249,[3]Bai2_VuotQua!$D$8:$I$120,6,FALSE),"NY")</f>
        <v>NY</v>
      </c>
      <c r="H249" s="2" t="str">
        <f>IFERROR(VLOOKUP(D249,[3]Bai3_VuotQua!$D$8:$I$122,6,FALSE),"NY")</f>
        <v>NY</v>
      </c>
      <c r="I249" s="2" t="str">
        <f>IFERROR(VLOOKUP(D249,[3]Bai4_VuotQua!$D$8:$I$117,6,FALSE),"NY")</f>
        <v>NY</v>
      </c>
      <c r="J249" s="2" t="str">
        <f t="shared" si="3"/>
        <v>done 1 lession</v>
      </c>
      <c r="K249" s="2" t="str">
        <f>VLOOKUP($D249,[1]Bai1_View!$E$2:$J$177,5,FALSE)</f>
        <v>HCM</v>
      </c>
      <c r="L249" s="2" t="str">
        <f>VLOOKUP($D249,[1]Bai1_View!$E$2:$J$177,6,FALSE)</f>
        <v>A. Tri</v>
      </c>
      <c r="M249" s="2">
        <f>IFERROR(VLOOKUP(D249,[2]Hồng!$D$1:$M$21,10,FALSE),0)</f>
        <v>0</v>
      </c>
    </row>
    <row r="250" spans="1:13" x14ac:dyDescent="0.25">
      <c r="A250" s="2">
        <v>248</v>
      </c>
      <c r="B250" s="2" t="s">
        <v>1013</v>
      </c>
      <c r="C250" s="2" t="s">
        <v>1014</v>
      </c>
      <c r="D250" s="2" t="s">
        <v>1015</v>
      </c>
      <c r="E250" s="2" t="s">
        <v>1016</v>
      </c>
      <c r="F250" s="2" t="str">
        <f>IFERROR(VLOOKUP(D250,[3]Bai1_VuotQua!$D$8:$I$143,6,FALSE),"NY")</f>
        <v>NY</v>
      </c>
      <c r="G250" s="2" t="str">
        <f>IFERROR(VLOOKUP(D250,[3]Bai2_VuotQua!$D$8:$I$120,6,FALSE),"NY")</f>
        <v>NY</v>
      </c>
      <c r="H250" s="2" t="str">
        <f>IFERROR(VLOOKUP(D250,[3]Bai3_VuotQua!$D$8:$I$122,6,FALSE),"NY")</f>
        <v>NY</v>
      </c>
      <c r="I250" s="2" t="str">
        <f>IFERROR(VLOOKUP(D250,[3]Bai4_VuotQua!$D$8:$I$117,6,FALSE),"NY")</f>
        <v>NY</v>
      </c>
      <c r="J250" s="2" t="str">
        <f t="shared" si="3"/>
        <v>NY</v>
      </c>
      <c r="K250" s="2" t="str">
        <f>VLOOKUP($D250,[1]Bai1_View!$E$2:$J$177,5,FALSE)</f>
        <v>Đồng Tháp</v>
      </c>
      <c r="L250" s="2" t="str">
        <f>VLOOKUP($D250,[1]Bai1_View!$E$2:$J$177,6,FALSE)</f>
        <v>A. Tho</v>
      </c>
      <c r="M250" s="2">
        <f>IFERROR(VLOOKUP(D250,[2]Hồng!$D$1:$M$21,10,FALSE),0)</f>
        <v>0</v>
      </c>
    </row>
    <row r="251" spans="1:13" x14ac:dyDescent="0.25">
      <c r="A251" s="2">
        <v>249</v>
      </c>
      <c r="B251" s="2" t="s">
        <v>1017</v>
      </c>
      <c r="C251" s="2" t="s">
        <v>1018</v>
      </c>
      <c r="D251" s="2" t="s">
        <v>1019</v>
      </c>
      <c r="E251" s="2" t="s">
        <v>1020</v>
      </c>
      <c r="F251" s="2" t="str">
        <f>IFERROR(VLOOKUP(D251,[3]Bai1_VuotQua!$D$8:$I$143,6,FALSE),"NY")</f>
        <v>NY</v>
      </c>
      <c r="G251" s="2" t="str">
        <f>IFERROR(VLOOKUP(D251,[3]Bai2_VuotQua!$D$8:$I$120,6,FALSE),"NY")</f>
        <v>NY</v>
      </c>
      <c r="H251" s="2" t="str">
        <f>IFERROR(VLOOKUP(D251,[3]Bai3_VuotQua!$D$8:$I$122,6,FALSE),"NY")</f>
        <v>NY</v>
      </c>
      <c r="I251" s="2" t="str">
        <f>IFERROR(VLOOKUP(D251,[3]Bai4_VuotQua!$D$8:$I$117,6,FALSE),"NY")</f>
        <v>NY</v>
      </c>
      <c r="J251" s="2" t="str">
        <f t="shared" si="3"/>
        <v>NY</v>
      </c>
      <c r="K251" s="2" t="str">
        <f>VLOOKUP($D251,[1]Bai1_View!$E$2:$J$177,5,FALSE)</f>
        <v>HCM</v>
      </c>
      <c r="L251" s="2" t="str">
        <f>VLOOKUP($D251,[1]Bai1_View!$E$2:$J$177,6,FALSE)</f>
        <v>A. Tri</v>
      </c>
      <c r="M251" s="2">
        <f>IFERROR(VLOOKUP(D251,[2]Hồng!$D$1:$M$21,10,FALSE),0)</f>
        <v>0</v>
      </c>
    </row>
    <row r="252" spans="1:13" x14ac:dyDescent="0.25">
      <c r="A252" s="2">
        <v>250</v>
      </c>
      <c r="B252" s="2" t="s">
        <v>1021</v>
      </c>
      <c r="C252" s="2" t="s">
        <v>1022</v>
      </c>
      <c r="D252" s="2" t="s">
        <v>1023</v>
      </c>
      <c r="E252" s="2" t="s">
        <v>1024</v>
      </c>
      <c r="F252" s="2" t="str">
        <f>IFERROR(VLOOKUP(D252,[3]Bai1_VuotQua!$D$8:$I$143,6,FALSE),"NY")</f>
        <v>NY</v>
      </c>
      <c r="G252" s="2" t="str">
        <f>IFERROR(VLOOKUP(D252,[3]Bai2_VuotQua!$D$8:$I$120,6,FALSE),"NY")</f>
        <v>done</v>
      </c>
      <c r="H252" s="2" t="str">
        <f>IFERROR(VLOOKUP(D252,[3]Bai3_VuotQua!$D$8:$I$122,6,FALSE),"NY")</f>
        <v>NY</v>
      </c>
      <c r="I252" s="2" t="str">
        <f>IFERROR(VLOOKUP(D252,[3]Bai4_VuotQua!$D$8:$I$117,6,FALSE),"NY")</f>
        <v>done</v>
      </c>
      <c r="J252" s="2" t="str">
        <f t="shared" si="3"/>
        <v>done 2 lession</v>
      </c>
      <c r="K252" s="2" t="s">
        <v>125</v>
      </c>
      <c r="L252" s="2" t="s">
        <v>19</v>
      </c>
      <c r="M252" s="2">
        <f>IFERROR(VLOOKUP(D252,[2]Hồng!$D$1:$M$21,10,FALSE),0)</f>
        <v>0</v>
      </c>
    </row>
    <row r="253" spans="1:13" x14ac:dyDescent="0.25">
      <c r="A253" s="2">
        <v>251</v>
      </c>
      <c r="B253" s="2" t="s">
        <v>1025</v>
      </c>
      <c r="C253" s="2" t="s">
        <v>1026</v>
      </c>
      <c r="D253" s="2" t="s">
        <v>1027</v>
      </c>
      <c r="E253" s="2" t="s">
        <v>1028</v>
      </c>
      <c r="F253" s="2" t="str">
        <f>IFERROR(VLOOKUP(D253,[3]Bai1_VuotQua!$D$8:$I$143,6,FALSE),"NY")</f>
        <v>NY</v>
      </c>
      <c r="G253" s="2" t="str">
        <f>IFERROR(VLOOKUP(D253,[3]Bai2_VuotQua!$D$8:$I$120,6,FALSE),"NY")</f>
        <v>NY</v>
      </c>
      <c r="H253" s="2" t="str">
        <f>IFERROR(VLOOKUP(D253,[3]Bai3_VuotQua!$D$8:$I$122,6,FALSE),"NY")</f>
        <v>NY</v>
      </c>
      <c r="I253" s="2" t="str">
        <f>IFERROR(VLOOKUP(D253,[3]Bai4_VuotQua!$D$8:$I$117,6,FALSE),"NY")</f>
        <v>NY</v>
      </c>
      <c r="J253" s="2" t="str">
        <f t="shared" si="3"/>
        <v>NY</v>
      </c>
      <c r="K253" s="2" t="s">
        <v>125</v>
      </c>
      <c r="L253" s="2" t="s">
        <v>19</v>
      </c>
      <c r="M253" s="2">
        <f>IFERROR(VLOOKUP(D253,[2]Hồng!$D$1:$M$21,10,FALSE),0)</f>
        <v>0</v>
      </c>
    </row>
    <row r="254" spans="1:13" x14ac:dyDescent="0.25">
      <c r="A254" s="2">
        <v>252</v>
      </c>
      <c r="B254" s="2" t="s">
        <v>1029</v>
      </c>
      <c r="C254" s="2" t="s">
        <v>1030</v>
      </c>
      <c r="D254" s="2" t="s">
        <v>1031</v>
      </c>
      <c r="E254" s="2" t="s">
        <v>1032</v>
      </c>
      <c r="F254" s="2" t="str">
        <f>IFERROR(VLOOKUP(D254,[3]Bai1_VuotQua!$D$8:$I$143,6,FALSE),"NY")</f>
        <v>NY</v>
      </c>
      <c r="G254" s="2" t="str">
        <f>IFERROR(VLOOKUP(D254,[3]Bai2_VuotQua!$D$8:$I$120,6,FALSE),"NY")</f>
        <v>NY</v>
      </c>
      <c r="H254" s="2" t="str">
        <f>IFERROR(VLOOKUP(D254,[3]Bai3_VuotQua!$D$8:$I$122,6,FALSE),"NY")</f>
        <v>NY</v>
      </c>
      <c r="I254" s="2" t="str">
        <f>IFERROR(VLOOKUP(D254,[3]Bai4_VuotQua!$D$8:$I$117,6,FALSE),"NY")</f>
        <v>NY</v>
      </c>
      <c r="J254" s="2" t="str">
        <f t="shared" si="3"/>
        <v>NY</v>
      </c>
      <c r="K254" s="2" t="s">
        <v>27</v>
      </c>
      <c r="L254" s="2" t="s">
        <v>20</v>
      </c>
      <c r="M254" s="2">
        <f>IFERROR(VLOOKUP(D254,[2]Hồng!$D$1:$M$21,10,FALSE),0)</f>
        <v>0</v>
      </c>
    </row>
    <row r="255" spans="1:13" x14ac:dyDescent="0.25">
      <c r="A255" s="2">
        <v>253</v>
      </c>
      <c r="B255" s="2" t="s">
        <v>258</v>
      </c>
      <c r="C255" s="2" t="s">
        <v>1033</v>
      </c>
      <c r="D255" s="2" t="s">
        <v>1034</v>
      </c>
      <c r="E255" s="2" t="s">
        <v>1035</v>
      </c>
      <c r="F255" s="2" t="str">
        <f>IFERROR(VLOOKUP(D255,[3]Bai1_VuotQua!$D$8:$I$143,6,FALSE),"NY")</f>
        <v>NY</v>
      </c>
      <c r="G255" s="2" t="str">
        <f>IFERROR(VLOOKUP(D255,[3]Bai2_VuotQua!$D$8:$I$120,6,FALSE),"NY")</f>
        <v>NY</v>
      </c>
      <c r="H255" s="2" t="str">
        <f>IFERROR(VLOOKUP(D255,[3]Bai3_VuotQua!$D$8:$I$122,6,FALSE),"NY")</f>
        <v>NY</v>
      </c>
      <c r="I255" s="2" t="str">
        <f>IFERROR(VLOOKUP(D255,[3]Bai4_VuotQua!$D$8:$I$117,6,FALSE),"NY")</f>
        <v>NY</v>
      </c>
      <c r="J255" s="2" t="str">
        <f t="shared" si="3"/>
        <v>NY</v>
      </c>
      <c r="K255" s="2" t="s">
        <v>125</v>
      </c>
      <c r="L255" s="2" t="s">
        <v>19</v>
      </c>
      <c r="M255" s="2">
        <f>IFERROR(VLOOKUP(D255,[2]Hồng!$D$1:$M$21,10,FALSE),0)</f>
        <v>0</v>
      </c>
    </row>
    <row r="256" spans="1:13" x14ac:dyDescent="0.25">
      <c r="A256" s="2">
        <v>254</v>
      </c>
      <c r="B256" s="2" t="s">
        <v>1036</v>
      </c>
      <c r="C256" s="2" t="s">
        <v>1037</v>
      </c>
      <c r="D256" s="2" t="s">
        <v>1038</v>
      </c>
      <c r="E256" s="2" t="s">
        <v>1039</v>
      </c>
      <c r="F256" s="2" t="str">
        <f>IFERROR(VLOOKUP(D256,[3]Bai1_VuotQua!$D$8:$I$143,6,FALSE),"NY")</f>
        <v>NY</v>
      </c>
      <c r="G256" s="2" t="str">
        <f>IFERROR(VLOOKUP(D256,[3]Bai2_VuotQua!$D$8:$I$120,6,FALSE),"NY")</f>
        <v>NY</v>
      </c>
      <c r="H256" s="2" t="str">
        <f>IFERROR(VLOOKUP(D256,[3]Bai3_VuotQua!$D$8:$I$122,6,FALSE),"NY")</f>
        <v>NY</v>
      </c>
      <c r="I256" s="2" t="str">
        <f>IFERROR(VLOOKUP(D256,[3]Bai4_VuotQua!$D$8:$I$117,6,FALSE),"NY")</f>
        <v>NY</v>
      </c>
      <c r="J256" s="2" t="str">
        <f t="shared" si="3"/>
        <v>NY</v>
      </c>
      <c r="K256" s="2" t="s">
        <v>125</v>
      </c>
      <c r="L256" s="2" t="s">
        <v>19</v>
      </c>
      <c r="M256" s="2">
        <f>IFERROR(VLOOKUP(D256,[2]Hồng!$D$1:$M$21,10,FALSE),0)</f>
        <v>0</v>
      </c>
    </row>
    <row r="257" spans="1:13" x14ac:dyDescent="0.25">
      <c r="A257" s="2">
        <v>255</v>
      </c>
      <c r="B257" s="2" t="s">
        <v>1040</v>
      </c>
      <c r="C257" s="2" t="s">
        <v>1041</v>
      </c>
      <c r="D257" s="2" t="s">
        <v>1042</v>
      </c>
      <c r="E257" s="2" t="s">
        <v>1043</v>
      </c>
      <c r="F257" s="2" t="str">
        <f>IFERROR(VLOOKUP(D257,[3]Bai1_VuotQua!$D$8:$I$143,6,FALSE),"NY")</f>
        <v>NY</v>
      </c>
      <c r="G257" s="2" t="str">
        <f>IFERROR(VLOOKUP(D257,[3]Bai2_VuotQua!$D$8:$I$120,6,FALSE),"NY")</f>
        <v>NY</v>
      </c>
      <c r="H257" s="2" t="str">
        <f>IFERROR(VLOOKUP(D257,[3]Bai3_VuotQua!$D$8:$I$122,6,FALSE),"NY")</f>
        <v>NY</v>
      </c>
      <c r="I257" s="2" t="str">
        <f>IFERROR(VLOOKUP(D257,[3]Bai4_VuotQua!$D$8:$I$117,6,FALSE),"NY")</f>
        <v>NY</v>
      </c>
      <c r="J257" s="2" t="str">
        <f t="shared" si="3"/>
        <v>NY</v>
      </c>
      <c r="K257" s="2" t="s">
        <v>125</v>
      </c>
      <c r="L257" s="2" t="s">
        <v>19</v>
      </c>
      <c r="M257" s="2">
        <f>IFERROR(VLOOKUP(D257,[2]Hồng!$D$1:$M$21,10,FALSE),0)</f>
        <v>0</v>
      </c>
    </row>
    <row r="258" spans="1:13" x14ac:dyDescent="0.25">
      <c r="A258" s="2">
        <v>256</v>
      </c>
      <c r="B258" s="2" t="s">
        <v>1044</v>
      </c>
      <c r="C258" s="2" t="s">
        <v>1045</v>
      </c>
      <c r="D258" s="2" t="s">
        <v>1046</v>
      </c>
      <c r="E258" s="2" t="s">
        <v>1047</v>
      </c>
      <c r="F258" s="2" t="str">
        <f>IFERROR(VLOOKUP(D258,[3]Bai1_VuotQua!$D$8:$I$143,6,FALSE),"NY")</f>
        <v>NY</v>
      </c>
      <c r="G258" s="2" t="str">
        <f>IFERROR(VLOOKUP(D258,[3]Bai2_VuotQua!$D$8:$I$120,6,FALSE),"NY")</f>
        <v>NY</v>
      </c>
      <c r="H258" s="2" t="str">
        <f>IFERROR(VLOOKUP(D258,[3]Bai3_VuotQua!$D$8:$I$122,6,FALSE),"NY")</f>
        <v>NY</v>
      </c>
      <c r="I258" s="2" t="str">
        <f>IFERROR(VLOOKUP(D258,[3]Bai4_VuotQua!$D$8:$I$117,6,FALSE),"NY")</f>
        <v>NY</v>
      </c>
      <c r="J258" s="2" t="str">
        <f t="shared" si="3"/>
        <v>NY</v>
      </c>
      <c r="K258" s="2" t="s">
        <v>125</v>
      </c>
      <c r="L258" s="2" t="s">
        <v>19</v>
      </c>
      <c r="M258" s="2">
        <f>IFERROR(VLOOKUP(D258,[2]Hồng!$D$1:$M$21,10,FALSE),0)</f>
        <v>0</v>
      </c>
    </row>
    <row r="259" spans="1:13" x14ac:dyDescent="0.25">
      <c r="A259" s="2">
        <v>257</v>
      </c>
      <c r="B259" s="2" t="s">
        <v>1048</v>
      </c>
      <c r="C259" s="2" t="s">
        <v>1049</v>
      </c>
      <c r="D259" s="2" t="s">
        <v>1050</v>
      </c>
      <c r="E259" s="2" t="s">
        <v>1051</v>
      </c>
      <c r="F259" s="2" t="str">
        <f>IFERROR(VLOOKUP(D259,[3]Bai1_VuotQua!$D$8:$I$143,6,FALSE),"NY")</f>
        <v>NY</v>
      </c>
      <c r="G259" s="2" t="str">
        <f>IFERROR(VLOOKUP(D259,[3]Bai2_VuotQua!$D$8:$I$120,6,FALSE),"NY")</f>
        <v>NY</v>
      </c>
      <c r="H259" s="2" t="str">
        <f>IFERROR(VLOOKUP(D259,[3]Bai3_VuotQua!$D$8:$I$122,6,FALSE),"NY")</f>
        <v>NY</v>
      </c>
      <c r="I259" s="2" t="str">
        <f>IFERROR(VLOOKUP(D259,[3]Bai4_VuotQua!$D$8:$I$117,6,FALSE),"NY")</f>
        <v>NY</v>
      </c>
      <c r="J259" s="2" t="str">
        <f t="shared" si="3"/>
        <v>NY</v>
      </c>
      <c r="K259" s="2" t="s">
        <v>27</v>
      </c>
      <c r="L259" s="2" t="s">
        <v>20</v>
      </c>
      <c r="M259" s="2">
        <f>IFERROR(VLOOKUP(D259,[2]Hồng!$D$1:$M$21,10,FALSE),0)</f>
        <v>0</v>
      </c>
    </row>
    <row r="260" spans="1:13" x14ac:dyDescent="0.25">
      <c r="A260" s="2">
        <v>258</v>
      </c>
      <c r="B260" s="2" t="s">
        <v>1052</v>
      </c>
      <c r="C260" s="2" t="s">
        <v>1053</v>
      </c>
      <c r="D260" s="2" t="s">
        <v>1054</v>
      </c>
      <c r="E260" s="2" t="s">
        <v>1055</v>
      </c>
      <c r="F260" s="2" t="str">
        <f>IFERROR(VLOOKUP(D260,[3]Bai1_VuotQua!$D$8:$I$143,6,FALSE),"NY")</f>
        <v>NY</v>
      </c>
      <c r="G260" s="2" t="str">
        <f>IFERROR(VLOOKUP(D260,[3]Bai2_VuotQua!$D$8:$I$120,6,FALSE),"NY")</f>
        <v>NY</v>
      </c>
      <c r="H260" s="2" t="str">
        <f>IFERROR(VLOOKUP(D260,[3]Bai3_VuotQua!$D$8:$I$122,6,FALSE),"NY")</f>
        <v>NY</v>
      </c>
      <c r="I260" s="2" t="str">
        <f>IFERROR(VLOOKUP(D260,[3]Bai4_VuotQua!$D$8:$I$117,6,FALSE),"NY")</f>
        <v>NY</v>
      </c>
      <c r="J260" s="2" t="str">
        <f t="shared" ref="J260:J273" si="4">IF(AND(F260="done",G260="done",H260="done",I260="done"),"done all",IF(OR(AND(F260="done",G260="done",H260="done"),AND(F260="done",G260="done",I260="done"),AND(F260="done",H260="done",I260="done"),AND(G260="done",H260="done",I260="done")),"done 3 lession",IF(OR(AND(F260="done",G260="done"),AND(F260="done",H260="done"),AND(F260="done",I260="done"),AND(G260="done",H260="done"),AND(G260="done",I260="done"),AND(H260="done",I260="done")),"done 2 lession",IF(OR(F260="done",G260="done",H260="done",I260="done"),"done 1 lession","NY"))))</f>
        <v>NY</v>
      </c>
      <c r="K260" s="2" t="s">
        <v>29</v>
      </c>
      <c r="L260" s="2" t="s">
        <v>17</v>
      </c>
      <c r="M260" s="2">
        <f>IFERROR(VLOOKUP(D260,[2]Hồng!$D$1:$M$21,10,FALSE),0)</f>
        <v>0</v>
      </c>
    </row>
    <row r="261" spans="1:13" x14ac:dyDescent="0.25">
      <c r="A261" s="2">
        <v>259</v>
      </c>
      <c r="B261" s="2" t="s">
        <v>1056</v>
      </c>
      <c r="C261" s="2" t="s">
        <v>1057</v>
      </c>
      <c r="D261" s="2" t="s">
        <v>1058</v>
      </c>
      <c r="E261" s="2" t="s">
        <v>1059</v>
      </c>
      <c r="F261" s="2" t="str">
        <f>IFERROR(VLOOKUP(D261,[3]Bai1_VuotQua!$D$8:$I$143,6,FALSE),"NY")</f>
        <v>NY</v>
      </c>
      <c r="G261" s="2" t="str">
        <f>IFERROR(VLOOKUP(D261,[3]Bai2_VuotQua!$D$8:$I$120,6,FALSE),"NY")</f>
        <v>NY</v>
      </c>
      <c r="H261" s="2" t="str">
        <f>IFERROR(VLOOKUP(D261,[3]Bai3_VuotQua!$D$8:$I$122,6,FALSE),"NY")</f>
        <v>NY</v>
      </c>
      <c r="I261" s="2" t="str">
        <f>IFERROR(VLOOKUP(D261,[3]Bai4_VuotQua!$D$8:$I$117,6,FALSE),"NY")</f>
        <v>NY</v>
      </c>
      <c r="J261" s="2" t="str">
        <f t="shared" si="4"/>
        <v>NY</v>
      </c>
      <c r="K261" s="2" t="s">
        <v>27</v>
      </c>
      <c r="L261" s="2" t="s">
        <v>20</v>
      </c>
      <c r="M261" s="2">
        <f>IFERROR(VLOOKUP(D261,[2]Hồng!$D$1:$M$21,10,FALSE),0)</f>
        <v>0</v>
      </c>
    </row>
    <row r="262" spans="1:13" x14ac:dyDescent="0.25">
      <c r="A262" s="2">
        <v>260</v>
      </c>
      <c r="B262" s="2" t="s">
        <v>1060</v>
      </c>
      <c r="C262" s="2" t="s">
        <v>1061</v>
      </c>
      <c r="D262" s="2" t="s">
        <v>1062</v>
      </c>
      <c r="E262" s="2" t="s">
        <v>1032</v>
      </c>
      <c r="F262" s="2" t="str">
        <f>IFERROR(VLOOKUP(D262,[3]Bai1_VuotQua!$D$8:$I$143,6,FALSE),"NY")</f>
        <v>NY</v>
      </c>
      <c r="G262" s="2" t="str">
        <f>IFERROR(VLOOKUP(D262,[3]Bai2_VuotQua!$D$8:$I$120,6,FALSE),"NY")</f>
        <v>NY</v>
      </c>
      <c r="H262" s="2" t="str">
        <f>IFERROR(VLOOKUP(D262,[3]Bai3_VuotQua!$D$8:$I$122,6,FALSE),"NY")</f>
        <v>NY</v>
      </c>
      <c r="I262" s="2" t="str">
        <f>IFERROR(VLOOKUP(D262,[3]Bai4_VuotQua!$D$8:$I$117,6,FALSE),"NY")</f>
        <v>NY</v>
      </c>
      <c r="J262" s="2" t="str">
        <f t="shared" si="4"/>
        <v>NY</v>
      </c>
      <c r="K262" s="2" t="s">
        <v>27</v>
      </c>
      <c r="L262" s="2" t="s">
        <v>20</v>
      </c>
      <c r="M262" s="2">
        <f>IFERROR(VLOOKUP(D262,[2]Hồng!$D$1:$M$21,10,FALSE),0)</f>
        <v>0</v>
      </c>
    </row>
    <row r="263" spans="1:13" x14ac:dyDescent="0.25">
      <c r="A263" s="2">
        <v>261</v>
      </c>
      <c r="B263" s="2" t="s">
        <v>1063</v>
      </c>
      <c r="C263" s="2" t="s">
        <v>1064</v>
      </c>
      <c r="D263" s="2" t="s">
        <v>1065</v>
      </c>
      <c r="E263" s="2" t="s">
        <v>1066</v>
      </c>
      <c r="F263" s="2" t="str">
        <f>IFERROR(VLOOKUP(D263,[3]Bai1_VuotQua!$D$8:$I$143,6,FALSE),"NY")</f>
        <v>NY</v>
      </c>
      <c r="G263" s="2" t="str">
        <f>IFERROR(VLOOKUP(D263,[3]Bai2_VuotQua!$D$8:$I$120,6,FALSE),"NY")</f>
        <v>NY</v>
      </c>
      <c r="H263" s="2" t="str">
        <f>IFERROR(VLOOKUP(D263,[3]Bai3_VuotQua!$D$8:$I$122,6,FALSE),"NY")</f>
        <v>NY</v>
      </c>
      <c r="I263" s="2" t="str">
        <f>IFERROR(VLOOKUP(D263,[3]Bai4_VuotQua!$D$8:$I$117,6,FALSE),"NY")</f>
        <v>NY</v>
      </c>
      <c r="J263" s="2" t="str">
        <f t="shared" si="4"/>
        <v>NY</v>
      </c>
      <c r="K263" s="2" t="s">
        <v>125</v>
      </c>
      <c r="L263" s="2" t="s">
        <v>19</v>
      </c>
      <c r="M263" s="2">
        <f>IFERROR(VLOOKUP(D263,[2]Hồng!$D$1:$M$21,10,FALSE),0)</f>
        <v>0</v>
      </c>
    </row>
    <row r="264" spans="1:13" x14ac:dyDescent="0.25">
      <c r="A264" s="2">
        <v>262</v>
      </c>
      <c r="B264" s="2" t="s">
        <v>1067</v>
      </c>
      <c r="C264" s="2" t="s">
        <v>1068</v>
      </c>
      <c r="D264" s="2" t="s">
        <v>1069</v>
      </c>
      <c r="E264" s="2" t="s">
        <v>1070</v>
      </c>
      <c r="F264" s="2" t="str">
        <f>IFERROR(VLOOKUP(D264,[3]Bai1_VuotQua!$D$8:$I$143,6,FALSE),"NY")</f>
        <v>NY</v>
      </c>
      <c r="G264" s="2" t="str">
        <f>IFERROR(VLOOKUP(D264,[3]Bai2_VuotQua!$D$8:$I$120,6,FALSE),"NY")</f>
        <v>NY</v>
      </c>
      <c r="H264" s="2" t="str">
        <f>IFERROR(VLOOKUP(D264,[3]Bai3_VuotQua!$D$8:$I$122,6,FALSE),"NY")</f>
        <v>NY</v>
      </c>
      <c r="I264" s="2" t="str">
        <f>IFERROR(VLOOKUP(D264,[3]Bai4_VuotQua!$D$8:$I$117,6,FALSE),"NY")</f>
        <v>NY</v>
      </c>
      <c r="J264" s="2" t="str">
        <f t="shared" si="4"/>
        <v>NY</v>
      </c>
      <c r="K264" s="2" t="s">
        <v>27</v>
      </c>
      <c r="L264" s="2" t="s">
        <v>20</v>
      </c>
      <c r="M264" s="2">
        <f>IFERROR(VLOOKUP(D264,[2]Hồng!$D$1:$M$21,10,FALSE),0)</f>
        <v>0</v>
      </c>
    </row>
    <row r="265" spans="1:13" x14ac:dyDescent="0.25">
      <c r="A265" s="2">
        <v>263</v>
      </c>
      <c r="B265" s="2" t="s">
        <v>1071</v>
      </c>
      <c r="C265" s="2" t="s">
        <v>1072</v>
      </c>
      <c r="D265" s="2" t="s">
        <v>1073</v>
      </c>
      <c r="E265" s="2" t="s">
        <v>1074</v>
      </c>
      <c r="F265" s="2" t="str">
        <f>IFERROR(VLOOKUP(D265,[3]Bai1_VuotQua!$D$8:$I$143,6,FALSE),"NY")</f>
        <v>NY</v>
      </c>
      <c r="G265" s="2" t="str">
        <f>IFERROR(VLOOKUP(D265,[3]Bai2_VuotQua!$D$8:$I$120,6,FALSE),"NY")</f>
        <v>NY</v>
      </c>
      <c r="H265" s="2" t="str">
        <f>IFERROR(VLOOKUP(D265,[3]Bai3_VuotQua!$D$8:$I$122,6,FALSE),"NY")</f>
        <v>NY</v>
      </c>
      <c r="I265" s="2" t="str">
        <f>IFERROR(VLOOKUP(D265,[3]Bai4_VuotQua!$D$8:$I$117,6,FALSE),"NY")</f>
        <v>done</v>
      </c>
      <c r="J265" s="2" t="str">
        <f t="shared" si="4"/>
        <v>done 1 lession</v>
      </c>
      <c r="K265" s="2" t="s">
        <v>125</v>
      </c>
      <c r="L265" s="2" t="s">
        <v>19</v>
      </c>
      <c r="M265" s="2">
        <f>IFERROR(VLOOKUP(D265,[2]Hồng!$D$1:$M$21,10,FALSE),0)</f>
        <v>0</v>
      </c>
    </row>
    <row r="266" spans="1:13" x14ac:dyDescent="0.25">
      <c r="A266" s="2">
        <v>264</v>
      </c>
      <c r="B266" s="2" t="s">
        <v>1075</v>
      </c>
      <c r="C266" s="2" t="s">
        <v>1076</v>
      </c>
      <c r="D266" s="2" t="s">
        <v>1077</v>
      </c>
      <c r="E266" s="2" t="s">
        <v>1078</v>
      </c>
      <c r="F266" s="2" t="str">
        <f>IFERROR(VLOOKUP(D266,[3]Bai1_VuotQua!$D$8:$I$143,6,FALSE),"NY")</f>
        <v>NY</v>
      </c>
      <c r="G266" s="2" t="str">
        <f>IFERROR(VLOOKUP(D266,[3]Bai2_VuotQua!$D$8:$I$120,6,FALSE),"NY")</f>
        <v>NY</v>
      </c>
      <c r="H266" s="2" t="str">
        <f>IFERROR(VLOOKUP(D266,[3]Bai3_VuotQua!$D$8:$I$122,6,FALSE),"NY")</f>
        <v>NY</v>
      </c>
      <c r="I266" s="2" t="str">
        <f>IFERROR(VLOOKUP(D266,[3]Bai4_VuotQua!$D$8:$I$117,6,FALSE),"NY")</f>
        <v>done</v>
      </c>
      <c r="J266" s="2" t="str">
        <f t="shared" si="4"/>
        <v>done 1 lession</v>
      </c>
      <c r="K266" s="2" t="s">
        <v>29</v>
      </c>
      <c r="L266" s="2" t="s">
        <v>17</v>
      </c>
      <c r="M266" s="2">
        <f>IFERROR(VLOOKUP(D266,[2]Hồng!$D$1:$M$21,10,FALSE),0)</f>
        <v>0</v>
      </c>
    </row>
    <row r="267" spans="1:13" x14ac:dyDescent="0.25">
      <c r="A267" s="2">
        <v>265</v>
      </c>
      <c r="B267" s="2" t="s">
        <v>1079</v>
      </c>
      <c r="C267" s="2" t="s">
        <v>1080</v>
      </c>
      <c r="D267" s="2" t="s">
        <v>1081</v>
      </c>
      <c r="E267" s="2" t="s">
        <v>1082</v>
      </c>
      <c r="F267" s="2" t="str">
        <f>IFERROR(VLOOKUP(D267,[3]Bai1_VuotQua!$D$8:$I$143,6,FALSE),"NY")</f>
        <v>NY</v>
      </c>
      <c r="G267" s="2" t="str">
        <f>IFERROR(VLOOKUP(D267,[3]Bai2_VuotQua!$D$8:$I$120,6,FALSE),"NY")</f>
        <v>NY</v>
      </c>
      <c r="H267" s="2" t="str">
        <f>IFERROR(VLOOKUP(D267,[3]Bai3_VuotQua!$D$8:$I$122,6,FALSE),"NY")</f>
        <v>NY</v>
      </c>
      <c r="I267" s="2" t="str">
        <f>IFERROR(VLOOKUP(D267,[3]Bai4_VuotQua!$D$8:$I$117,6,FALSE),"NY")</f>
        <v>NY</v>
      </c>
      <c r="J267" s="2" t="str">
        <f t="shared" si="4"/>
        <v>NY</v>
      </c>
      <c r="K267" s="2" t="s">
        <v>125</v>
      </c>
      <c r="L267" s="2" t="s">
        <v>19</v>
      </c>
      <c r="M267" s="2">
        <f>IFERROR(VLOOKUP(D267,[2]Hồng!$D$1:$M$21,10,FALSE),0)</f>
        <v>0</v>
      </c>
    </row>
    <row r="268" spans="1:13" x14ac:dyDescent="0.25">
      <c r="A268" s="2">
        <v>266</v>
      </c>
      <c r="B268" s="2" t="s">
        <v>1083</v>
      </c>
      <c r="C268" s="2" t="s">
        <v>1084</v>
      </c>
      <c r="D268" s="2" t="s">
        <v>1085</v>
      </c>
      <c r="E268" s="2" t="s">
        <v>1086</v>
      </c>
      <c r="F268" s="2" t="str">
        <f>IFERROR(VLOOKUP(D268,[3]Bai1_VuotQua!$D$8:$I$143,6,FALSE),"NY")</f>
        <v>NY</v>
      </c>
      <c r="G268" s="2" t="str">
        <f>IFERROR(VLOOKUP(D268,[3]Bai2_VuotQua!$D$8:$I$120,6,FALSE),"NY")</f>
        <v>NY</v>
      </c>
      <c r="H268" s="2" t="str">
        <f>IFERROR(VLOOKUP(D268,[3]Bai3_VuotQua!$D$8:$I$122,6,FALSE),"NY")</f>
        <v>NY</v>
      </c>
      <c r="I268" s="2" t="str">
        <f>IFERROR(VLOOKUP(D268,[3]Bai4_VuotQua!$D$8:$I$117,6,FALSE),"NY")</f>
        <v>NY</v>
      </c>
      <c r="J268" s="2" t="str">
        <f t="shared" si="4"/>
        <v>NY</v>
      </c>
      <c r="K268" s="2" t="s">
        <v>27</v>
      </c>
      <c r="L268" s="2" t="s">
        <v>20</v>
      </c>
      <c r="M268" s="2">
        <f>IFERROR(VLOOKUP(D268,[2]Hồng!$D$1:$M$21,10,FALSE),0)</f>
        <v>0</v>
      </c>
    </row>
    <row r="269" spans="1:13" x14ac:dyDescent="0.25">
      <c r="A269" s="2">
        <v>267</v>
      </c>
      <c r="B269" s="2" t="s">
        <v>1087</v>
      </c>
      <c r="C269" s="2" t="s">
        <v>1088</v>
      </c>
      <c r="D269" s="2" t="s">
        <v>1089</v>
      </c>
      <c r="E269" s="2" t="s">
        <v>1090</v>
      </c>
      <c r="F269" s="2" t="str">
        <f>IFERROR(VLOOKUP(D269,[3]Bai1_VuotQua!$D$8:$I$143,6,FALSE),"NY")</f>
        <v>NY</v>
      </c>
      <c r="G269" s="2" t="str">
        <f>IFERROR(VLOOKUP(D269,[3]Bai2_VuotQua!$D$8:$I$120,6,FALSE),"NY")</f>
        <v>NY</v>
      </c>
      <c r="H269" s="2" t="str">
        <f>IFERROR(VLOOKUP(D269,[3]Bai3_VuotQua!$D$8:$I$122,6,FALSE),"NY")</f>
        <v>NY</v>
      </c>
      <c r="I269" s="2" t="str">
        <f>IFERROR(VLOOKUP(D269,[3]Bai4_VuotQua!$D$8:$I$117,6,FALSE),"NY")</f>
        <v>NY</v>
      </c>
      <c r="J269" s="2" t="str">
        <f t="shared" si="4"/>
        <v>NY</v>
      </c>
      <c r="K269" s="2" t="s">
        <v>125</v>
      </c>
      <c r="L269" s="2" t="s">
        <v>19</v>
      </c>
      <c r="M269" s="2">
        <f>IFERROR(VLOOKUP(D269,[2]Hồng!$D$1:$M$21,10,FALSE),0)</f>
        <v>0</v>
      </c>
    </row>
    <row r="270" spans="1:13" x14ac:dyDescent="0.25">
      <c r="A270" s="2">
        <v>268</v>
      </c>
      <c r="B270" s="2" t="s">
        <v>1091</v>
      </c>
      <c r="C270" s="2" t="s">
        <v>1092</v>
      </c>
      <c r="D270" s="2" t="s">
        <v>1093</v>
      </c>
      <c r="E270" s="2" t="s">
        <v>1094</v>
      </c>
      <c r="F270" s="2" t="str">
        <f>IFERROR(VLOOKUP(D270,[3]Bai1_VuotQua!$D$8:$I$143,6,FALSE),"NY")</f>
        <v>NY</v>
      </c>
      <c r="G270" s="2" t="str">
        <f>IFERROR(VLOOKUP(D270,[3]Bai2_VuotQua!$D$8:$I$120,6,FALSE),"NY")</f>
        <v>NY</v>
      </c>
      <c r="H270" s="2" t="str">
        <f>IFERROR(VLOOKUP(D270,[3]Bai3_VuotQua!$D$8:$I$122,6,FALSE),"NY")</f>
        <v>NY</v>
      </c>
      <c r="I270" s="2" t="str">
        <f>IFERROR(VLOOKUP(D270,[3]Bai4_VuotQua!$D$8:$I$117,6,FALSE),"NY")</f>
        <v>NY</v>
      </c>
      <c r="J270" s="2" t="str">
        <f t="shared" si="4"/>
        <v>NY</v>
      </c>
      <c r="K270" s="2" t="s">
        <v>27</v>
      </c>
      <c r="L270" s="2" t="s">
        <v>20</v>
      </c>
      <c r="M270" s="2">
        <f>IFERROR(VLOOKUP(D270,[2]Hồng!$D$1:$M$21,10,FALSE),0)</f>
        <v>0</v>
      </c>
    </row>
    <row r="271" spans="1:13" x14ac:dyDescent="0.25">
      <c r="A271" s="2">
        <v>269</v>
      </c>
      <c r="B271" s="2" t="s">
        <v>1095</v>
      </c>
      <c r="C271" s="2" t="s">
        <v>1096</v>
      </c>
      <c r="D271" s="2" t="s">
        <v>1097</v>
      </c>
      <c r="E271" s="2" t="s">
        <v>1098</v>
      </c>
      <c r="F271" s="2" t="str">
        <f>IFERROR(VLOOKUP(D271,[3]Bai1_VuotQua!$D$8:$I$143,6,FALSE),"NY")</f>
        <v>NY</v>
      </c>
      <c r="G271" s="2" t="str">
        <f>IFERROR(VLOOKUP(D271,[3]Bai2_VuotQua!$D$8:$I$120,6,FALSE),"NY")</f>
        <v>NY</v>
      </c>
      <c r="H271" s="2" t="str">
        <f>IFERROR(VLOOKUP(D271,[3]Bai3_VuotQua!$D$8:$I$122,6,FALSE),"NY")</f>
        <v>NY</v>
      </c>
      <c r="I271" s="2" t="str">
        <f>IFERROR(VLOOKUP(D271,[3]Bai4_VuotQua!$D$8:$I$117,6,FALSE),"NY")</f>
        <v>NY</v>
      </c>
      <c r="J271" s="2" t="str">
        <f t="shared" si="4"/>
        <v>NY</v>
      </c>
      <c r="K271" s="2" t="s">
        <v>125</v>
      </c>
      <c r="L271" s="2" t="s">
        <v>19</v>
      </c>
      <c r="M271" s="2">
        <f>IFERROR(VLOOKUP(D271,[2]Hồng!$D$1:$M$21,10,FALSE),0)</f>
        <v>0</v>
      </c>
    </row>
    <row r="272" spans="1:13" x14ac:dyDescent="0.25">
      <c r="A272" s="2">
        <v>270</v>
      </c>
      <c r="B272" s="2" t="s">
        <v>1099</v>
      </c>
      <c r="C272" s="2" t="s">
        <v>1100</v>
      </c>
      <c r="D272" s="2" t="s">
        <v>1101</v>
      </c>
      <c r="E272" s="2" t="s">
        <v>1102</v>
      </c>
      <c r="F272" s="2" t="str">
        <f>IFERROR(VLOOKUP(D272,[3]Bai1_VuotQua!$D$8:$I$143,6,FALSE),"NY")</f>
        <v>NY</v>
      </c>
      <c r="G272" s="2" t="str">
        <f>IFERROR(VLOOKUP(D272,[3]Bai2_VuotQua!$D$8:$I$120,6,FALSE),"NY")</f>
        <v>NY</v>
      </c>
      <c r="H272" s="2" t="str">
        <f>IFERROR(VLOOKUP(D272,[3]Bai3_VuotQua!$D$8:$I$122,6,FALSE),"NY")</f>
        <v>NY</v>
      </c>
      <c r="I272" s="2" t="str">
        <f>IFERROR(VLOOKUP(D272,[3]Bai4_VuotQua!$D$8:$I$117,6,FALSE),"NY")</f>
        <v>NY</v>
      </c>
      <c r="J272" s="2" t="str">
        <f t="shared" si="4"/>
        <v>NY</v>
      </c>
      <c r="K272" s="2" t="s">
        <v>125</v>
      </c>
      <c r="L272" s="2" t="s">
        <v>19</v>
      </c>
      <c r="M272" s="2">
        <f>IFERROR(VLOOKUP(D272,[2]Hồng!$D$1:$M$21,10,FALSE),0)</f>
        <v>0</v>
      </c>
    </row>
    <row r="273" spans="1:13" x14ac:dyDescent="0.25">
      <c r="A273" s="2">
        <v>271</v>
      </c>
      <c r="B273" s="2" t="s">
        <v>1103</v>
      </c>
      <c r="C273" s="2" t="s">
        <v>1104</v>
      </c>
      <c r="D273" s="2" t="s">
        <v>1105</v>
      </c>
      <c r="E273" s="2" t="s">
        <v>1106</v>
      </c>
      <c r="F273" s="2" t="str">
        <f>IFERROR(VLOOKUP(D273,[3]Bai1_VuotQua!$D$8:$I$143,6,FALSE),"NY")</f>
        <v>NY</v>
      </c>
      <c r="G273" s="2" t="str">
        <f>IFERROR(VLOOKUP(D273,[3]Bai2_VuotQua!$D$8:$I$120,6,FALSE),"NY")</f>
        <v>NY</v>
      </c>
      <c r="H273" s="2" t="str">
        <f>IFERROR(VLOOKUP(D273,[3]Bai3_VuotQua!$D$8:$I$122,6,FALSE),"NY")</f>
        <v>NY</v>
      </c>
      <c r="I273" s="2" t="str">
        <f>IFERROR(VLOOKUP(D273,[3]Bai4_VuotQua!$D$8:$I$117,6,FALSE),"NY")</f>
        <v>NY</v>
      </c>
      <c r="J273" s="2" t="str">
        <f t="shared" si="4"/>
        <v>NY</v>
      </c>
      <c r="K273" s="2" t="s">
        <v>125</v>
      </c>
      <c r="L273" s="2" t="s">
        <v>19</v>
      </c>
      <c r="M273" s="2">
        <f>IFERROR(VLOOKUP(D273,[2]Hồng!$D$1:$M$21,10,FALSE),0)</f>
        <v>0</v>
      </c>
    </row>
    <row r="274" spans="1:13" x14ac:dyDescent="0.25">
      <c r="A274" s="16">
        <v>272</v>
      </c>
      <c r="B274"/>
      <c r="C274"/>
      <c r="D274" s="17" t="s">
        <v>1120</v>
      </c>
      <c r="E274" s="18" t="s">
        <v>1159</v>
      </c>
      <c r="F274" s="2" t="s">
        <v>1138</v>
      </c>
      <c r="G274" s="2" t="s">
        <v>1138</v>
      </c>
      <c r="H274" s="2" t="s">
        <v>1138</v>
      </c>
      <c r="I274" s="2" t="s">
        <v>1138</v>
      </c>
      <c r="J274" s="2" t="s">
        <v>45</v>
      </c>
      <c r="K274" s="2" t="s">
        <v>27</v>
      </c>
      <c r="L274" s="2" t="s">
        <v>20</v>
      </c>
    </row>
    <row r="275" spans="1:13" x14ac:dyDescent="0.25">
      <c r="A275" s="16">
        <v>273</v>
      </c>
      <c r="B275"/>
      <c r="C275"/>
      <c r="D275" s="17" t="s">
        <v>1121</v>
      </c>
      <c r="E275" s="18" t="s">
        <v>1160</v>
      </c>
      <c r="F275" s="2" t="s">
        <v>1138</v>
      </c>
      <c r="G275" s="2" t="s">
        <v>1138</v>
      </c>
      <c r="H275" s="2" t="s">
        <v>1138</v>
      </c>
      <c r="I275" s="2" t="s">
        <v>1138</v>
      </c>
      <c r="J275" s="2" t="s">
        <v>45</v>
      </c>
      <c r="K275" s="2" t="s">
        <v>27</v>
      </c>
      <c r="L275" s="2" t="s">
        <v>20</v>
      </c>
    </row>
    <row r="276" spans="1:13" x14ac:dyDescent="0.25">
      <c r="A276" s="2">
        <v>274</v>
      </c>
      <c r="B276" s="19" t="s">
        <v>1122</v>
      </c>
      <c r="C276" s="19" t="s">
        <v>1123</v>
      </c>
      <c r="D276" s="19" t="s">
        <v>1124</v>
      </c>
      <c r="E276" s="19" t="s">
        <v>1125</v>
      </c>
      <c r="F276" s="2" t="str">
        <f>IFERROR(VLOOKUP(D276,[3]Bai1_VuotQua!$D$8:$I$143,6,FALSE),"NY")</f>
        <v>done</v>
      </c>
      <c r="G276" s="2" t="str">
        <f>IFERROR(VLOOKUP(D276,[3]Bai2_VuotQua!$D$8:$I$120,6,FALSE),"NY")</f>
        <v>done</v>
      </c>
      <c r="H276" s="2" t="str">
        <f>IFERROR(VLOOKUP(D276,[3]Bai3_VuotQua!$D$8:$I$122,6,FALSE),"NY")</f>
        <v>done</v>
      </c>
      <c r="I276" s="2" t="str">
        <f>IFERROR(VLOOKUP(D276,[3]Bai4_VuotQua!$D$8:$I$117,6,FALSE),"NY")</f>
        <v>done</v>
      </c>
      <c r="J276" s="2" t="str">
        <f t="shared" ref="J276:J284" si="5">IF(AND(F276="done",G276="done",H276="done",I276="done"),"done all",IF(OR(AND(F276="done",G276="done",H276="done"),AND(F276="done",G276="done",I276="done"),AND(F276="done",H276="done",I276="done"),AND(G276="done",H276="done",I276="done")),"done 3 lession",IF(OR(AND(F276="done",G276="done"),AND(F276="done",H276="done"),AND(F276="done",I276="done"),AND(G276="done",H276="done"),AND(G276="done",I276="done"),AND(H276="done",I276="done")),"done 2 lession",IF(OR(F276="done",G276="done",H276="done",I276="done"),"done 1 lession","NY"))))</f>
        <v>done all</v>
      </c>
      <c r="K276" s="2" t="s">
        <v>125</v>
      </c>
      <c r="L276" s="2" t="s">
        <v>19</v>
      </c>
    </row>
    <row r="277" spans="1:13" x14ac:dyDescent="0.25">
      <c r="A277" s="2">
        <v>275</v>
      </c>
      <c r="B277" s="19" t="s">
        <v>1126</v>
      </c>
      <c r="C277" s="19" t="s">
        <v>1127</v>
      </c>
      <c r="D277" s="19" t="s">
        <v>1128</v>
      </c>
      <c r="E277" s="19" t="s">
        <v>1129</v>
      </c>
      <c r="F277" s="2" t="str">
        <f>IFERROR(VLOOKUP(D277,[3]Bai1_VuotQua!$D$8:$I$143,6,FALSE),"NY")</f>
        <v>done</v>
      </c>
      <c r="G277" s="2" t="str">
        <f>IFERROR(VLOOKUP(D277,[3]Bai2_VuotQua!$D$8:$I$120,6,FALSE),"NY")</f>
        <v>done</v>
      </c>
      <c r="H277" s="2" t="str">
        <f>IFERROR(VLOOKUP(D277,[3]Bai3_VuotQua!$D$8:$I$122,6,FALSE),"NY")</f>
        <v>done</v>
      </c>
      <c r="I277" s="2" t="str">
        <f>IFERROR(VLOOKUP(D277,[3]Bai4_VuotQua!$D$8:$I$117,6,FALSE),"NY")</f>
        <v>done</v>
      </c>
      <c r="J277" s="2" t="str">
        <f t="shared" si="5"/>
        <v>done all</v>
      </c>
      <c r="K277" s="2" t="s">
        <v>125</v>
      </c>
      <c r="L277" s="2" t="s">
        <v>19</v>
      </c>
    </row>
    <row r="278" spans="1:13" x14ac:dyDescent="0.25">
      <c r="A278" s="16">
        <v>276</v>
      </c>
      <c r="B278" s="19" t="s">
        <v>1130</v>
      </c>
      <c r="C278" s="19" t="s">
        <v>1131</v>
      </c>
      <c r="D278" s="19" t="s">
        <v>1132</v>
      </c>
      <c r="E278" s="19" t="s">
        <v>1133</v>
      </c>
      <c r="F278" s="2" t="str">
        <f>IFERROR(VLOOKUP(D278,[3]Bai1_VuotQua!$D$8:$I$143,6,FALSE),"NY")</f>
        <v>done</v>
      </c>
      <c r="G278" s="2" t="str">
        <f>IFERROR(VLOOKUP(D278,[3]Bai2_VuotQua!$D$8:$I$120,6,FALSE),"NY")</f>
        <v>done</v>
      </c>
      <c r="H278" s="2" t="str">
        <f>IFERROR(VLOOKUP(D278,[3]Bai3_VuotQua!$D$8:$I$122,6,FALSE),"NY")</f>
        <v>NY</v>
      </c>
      <c r="I278" s="2" t="str">
        <f>IFERROR(VLOOKUP(D278,[3]Bai4_VuotQua!$D$8:$I$117,6,FALSE),"NY")</f>
        <v>NY</v>
      </c>
      <c r="J278" s="2" t="str">
        <f t="shared" si="5"/>
        <v>done 2 lession</v>
      </c>
      <c r="K278" s="2" t="s">
        <v>125</v>
      </c>
      <c r="L278" s="2" t="s">
        <v>19</v>
      </c>
    </row>
    <row r="279" spans="1:13" x14ac:dyDescent="0.25">
      <c r="A279" s="16">
        <v>277</v>
      </c>
      <c r="B279" s="19" t="s">
        <v>1134</v>
      </c>
      <c r="C279" s="19" t="s">
        <v>1135</v>
      </c>
      <c r="D279" s="19" t="s">
        <v>1136</v>
      </c>
      <c r="E279" s="19" t="s">
        <v>1137</v>
      </c>
      <c r="F279" s="2" t="str">
        <f>IFERROR(VLOOKUP(D279,[3]Bai1_VuotQua!$D$8:$I$143,6,FALSE),"NY")</f>
        <v>done</v>
      </c>
      <c r="G279" s="2" t="str">
        <f>IFERROR(VLOOKUP(D279,[3]Bai2_VuotQua!$D$8:$I$120,6,FALSE),"NY")</f>
        <v>done</v>
      </c>
      <c r="H279" s="2" t="str">
        <f>IFERROR(VLOOKUP(D279,[3]Bai3_VuotQua!$D$8:$I$122,6,FALSE),"NY")</f>
        <v>done</v>
      </c>
      <c r="I279" s="2" t="str">
        <f>IFERROR(VLOOKUP(D279,[3]Bai4_VuotQua!$D$8:$I$117,6,FALSE),"NY")</f>
        <v>done</v>
      </c>
      <c r="J279" s="2" t="str">
        <f t="shared" si="5"/>
        <v>done all</v>
      </c>
      <c r="K279" s="2" t="s">
        <v>27</v>
      </c>
      <c r="L279" s="2" t="s">
        <v>20</v>
      </c>
    </row>
    <row r="280" spans="1:13" x14ac:dyDescent="0.25">
      <c r="A280" s="2">
        <v>278</v>
      </c>
      <c r="B280" s="19" t="s">
        <v>1139</v>
      </c>
      <c r="C280" s="19" t="s">
        <v>1140</v>
      </c>
      <c r="D280" s="19" t="s">
        <v>1141</v>
      </c>
      <c r="E280" s="19" t="s">
        <v>1142</v>
      </c>
      <c r="F280" s="2" t="str">
        <f>IFERROR(VLOOKUP(D280,[3]Bai1_VuotQua!$D$8:$I$143,6,FALSE),"NY")</f>
        <v>NY</v>
      </c>
      <c r="G280" s="2" t="str">
        <f>IFERROR(VLOOKUP(D280,[3]Bai2_VuotQua!$D$8:$I$120,6,FALSE),"NY")</f>
        <v>NY</v>
      </c>
      <c r="H280" s="2" t="str">
        <f>IFERROR(VLOOKUP(D280,[3]Bai3_VuotQua!$D$8:$I$122,6,FALSE),"NY")</f>
        <v>done</v>
      </c>
      <c r="I280" s="2" t="str">
        <f>IFERROR(VLOOKUP(D280,[3]Bai4_VuotQua!$D$8:$I$117,6,FALSE),"NY")</f>
        <v>NY</v>
      </c>
      <c r="J280" s="2" t="str">
        <f t="shared" si="5"/>
        <v>done 1 lession</v>
      </c>
      <c r="K280" s="2" t="s">
        <v>125</v>
      </c>
      <c r="L280" s="2" t="s">
        <v>19</v>
      </c>
    </row>
    <row r="281" spans="1:13" x14ac:dyDescent="0.25">
      <c r="A281" s="2">
        <v>279</v>
      </c>
      <c r="B281" s="19" t="s">
        <v>1143</v>
      </c>
      <c r="C281" s="19" t="s">
        <v>1144</v>
      </c>
      <c r="D281" s="19" t="s">
        <v>1145</v>
      </c>
      <c r="E281" s="19" t="s">
        <v>1146</v>
      </c>
      <c r="F281" s="2" t="str">
        <f>IFERROR(VLOOKUP(D281,[3]Bai1_VuotQua!$D$8:$I$143,6,FALSE),"NY")</f>
        <v>NY</v>
      </c>
      <c r="G281" s="2" t="str">
        <f>IFERROR(VLOOKUP(D281,[3]Bai2_VuotQua!$D$8:$I$120,6,FALSE),"NY")</f>
        <v>NY</v>
      </c>
      <c r="H281" s="2" t="str">
        <f>IFERROR(VLOOKUP(D281,[3]Bai3_VuotQua!$D$8:$I$122,6,FALSE),"NY")</f>
        <v>done</v>
      </c>
      <c r="I281" s="2" t="str">
        <f>IFERROR(VLOOKUP(D281,[3]Bai4_VuotQua!$D$8:$I$117,6,FALSE),"NY")</f>
        <v>NY</v>
      </c>
      <c r="J281" s="2" t="str">
        <f t="shared" si="5"/>
        <v>done 1 lession</v>
      </c>
      <c r="K281" s="2" t="s">
        <v>1161</v>
      </c>
      <c r="L281" s="2" t="s">
        <v>17</v>
      </c>
    </row>
    <row r="282" spans="1:13" x14ac:dyDescent="0.25">
      <c r="A282" s="16">
        <v>280</v>
      </c>
      <c r="B282" s="19" t="s">
        <v>1147</v>
      </c>
      <c r="C282" s="19" t="s">
        <v>1148</v>
      </c>
      <c r="D282" s="19" t="s">
        <v>1149</v>
      </c>
      <c r="E282" s="19" t="s">
        <v>1150</v>
      </c>
      <c r="F282" s="2" t="str">
        <f>IFERROR(VLOOKUP(D282,[3]Bai1_VuotQua!$D$8:$I$143,6,FALSE),"NY")</f>
        <v>NY</v>
      </c>
      <c r="G282" s="2" t="str">
        <f>IFERROR(VLOOKUP(D282,[3]Bai2_VuotQua!$D$8:$I$120,6,FALSE),"NY")</f>
        <v>NY</v>
      </c>
      <c r="H282" s="2" t="str">
        <f>IFERROR(VLOOKUP(D282,[3]Bai3_VuotQua!$D$8:$I$122,6,FALSE),"NY")</f>
        <v>done</v>
      </c>
      <c r="I282" s="2" t="str">
        <f>IFERROR(VLOOKUP(D282,[3]Bai4_VuotQua!$D$8:$I$117,6,FALSE),"NY")</f>
        <v>NY</v>
      </c>
      <c r="J282" s="2" t="str">
        <f t="shared" si="5"/>
        <v>done 1 lession</v>
      </c>
      <c r="K282" s="2" t="s">
        <v>146</v>
      </c>
      <c r="L282" s="2" t="s">
        <v>18</v>
      </c>
    </row>
    <row r="283" spans="1:13" x14ac:dyDescent="0.25">
      <c r="A283" s="16">
        <v>281</v>
      </c>
      <c r="B283" s="19" t="s">
        <v>1151</v>
      </c>
      <c r="C283" s="19" t="s">
        <v>1152</v>
      </c>
      <c r="D283" s="19" t="s">
        <v>1153</v>
      </c>
      <c r="E283" s="19" t="s">
        <v>1154</v>
      </c>
      <c r="F283" s="2" t="str">
        <f>IFERROR(VLOOKUP(D283,[3]Bai1_VuotQua!$D$8:$I$143,6,FALSE),"NY")</f>
        <v>NY</v>
      </c>
      <c r="G283" s="2" t="str">
        <f>IFERROR(VLOOKUP(D283,[3]Bai2_VuotQua!$D$8:$I$120,6,FALSE),"NY")</f>
        <v>NY</v>
      </c>
      <c r="H283" s="2" t="str">
        <f>IFERROR(VLOOKUP(D283,[3]Bai3_VuotQua!$D$8:$I$122,6,FALSE),"NY")</f>
        <v>done</v>
      </c>
      <c r="I283" s="2" t="str">
        <f>IFERROR(VLOOKUP(D283,[3]Bai4_VuotQua!$D$8:$I$117,6,FALSE),"NY")</f>
        <v>NY</v>
      </c>
      <c r="J283" s="2" t="str">
        <f t="shared" si="5"/>
        <v>done 1 lession</v>
      </c>
      <c r="K283" s="2" t="s">
        <v>125</v>
      </c>
      <c r="L283" s="2" t="s">
        <v>19</v>
      </c>
    </row>
    <row r="284" spans="1:13" x14ac:dyDescent="0.25">
      <c r="A284" s="2">
        <v>282</v>
      </c>
      <c r="B284" s="19" t="s">
        <v>1155</v>
      </c>
      <c r="C284" s="19" t="s">
        <v>1156</v>
      </c>
      <c r="D284" s="19" t="s">
        <v>1157</v>
      </c>
      <c r="E284" s="19" t="s">
        <v>1158</v>
      </c>
      <c r="F284" s="2" t="str">
        <f>IFERROR(VLOOKUP(D284,[3]Bai1_VuotQua!$D$8:$I$143,6,FALSE),"NY")</f>
        <v>NY</v>
      </c>
      <c r="G284" s="2" t="str">
        <f>IFERROR(VLOOKUP(D284,[3]Bai2_VuotQua!$D$8:$I$120,6,FALSE),"NY")</f>
        <v>NY</v>
      </c>
      <c r="H284" s="2" t="str">
        <f>IFERROR(VLOOKUP(D284,[3]Bai3_VuotQua!$D$8:$I$122,6,FALSE),"NY")</f>
        <v>done</v>
      </c>
      <c r="I284" s="2" t="str">
        <f>IFERROR(VLOOKUP(D284,[3]Bai4_VuotQua!$D$8:$I$117,6,FALSE),"NY")</f>
        <v>NY</v>
      </c>
      <c r="J284" s="2" t="str">
        <f t="shared" si="5"/>
        <v>done 1 lession</v>
      </c>
      <c r="K284" s="2" t="s">
        <v>125</v>
      </c>
      <c r="L284" s="2" t="s">
        <v>19</v>
      </c>
    </row>
    <row r="285" spans="1:13" x14ac:dyDescent="0.25">
      <c r="A285"/>
      <c r="B285"/>
      <c r="C285"/>
      <c r="D285"/>
      <c r="E285"/>
    </row>
    <row r="286" spans="1:13" x14ac:dyDescent="0.25">
      <c r="A286"/>
      <c r="B286"/>
      <c r="C286"/>
      <c r="D286"/>
      <c r="E286"/>
    </row>
    <row r="287" spans="1:13" x14ac:dyDescent="0.25">
      <c r="A287"/>
      <c r="B287"/>
      <c r="C287"/>
      <c r="D287"/>
      <c r="E287"/>
    </row>
    <row r="288" spans="1:13" x14ac:dyDescent="0.25">
      <c r="A288"/>
      <c r="B288"/>
      <c r="C288"/>
      <c r="D288"/>
      <c r="E288"/>
    </row>
    <row r="289" spans="1:5" x14ac:dyDescent="0.25">
      <c r="A289"/>
      <c r="B289"/>
      <c r="C289"/>
      <c r="D289"/>
      <c r="E289"/>
    </row>
    <row r="290" spans="1:5" x14ac:dyDescent="0.25">
      <c r="A290"/>
      <c r="B290"/>
      <c r="C290"/>
      <c r="D290"/>
      <c r="E290"/>
    </row>
    <row r="291" spans="1:5" x14ac:dyDescent="0.25">
      <c r="A291"/>
      <c r="B291"/>
      <c r="C291"/>
      <c r="D291"/>
      <c r="E291"/>
    </row>
    <row r="292" spans="1:5" x14ac:dyDescent="0.25">
      <c r="A292"/>
      <c r="B292"/>
      <c r="C292"/>
      <c r="D292"/>
      <c r="E292"/>
    </row>
    <row r="293" spans="1:5" x14ac:dyDescent="0.25">
      <c r="A293"/>
      <c r="B293"/>
      <c r="C293"/>
      <c r="D293"/>
      <c r="E293"/>
    </row>
    <row r="294" spans="1:5" x14ac:dyDescent="0.25">
      <c r="A294"/>
      <c r="B294"/>
      <c r="C294"/>
      <c r="D294"/>
      <c r="E294"/>
    </row>
    <row r="295" spans="1:5" x14ac:dyDescent="0.25">
      <c r="A295"/>
      <c r="B295"/>
      <c r="C295"/>
      <c r="D295"/>
      <c r="E295"/>
    </row>
    <row r="296" spans="1:5" x14ac:dyDescent="0.25">
      <c r="A296"/>
      <c r="B296"/>
      <c r="C296"/>
      <c r="D296"/>
      <c r="E296"/>
    </row>
    <row r="297" spans="1:5" x14ac:dyDescent="0.25">
      <c r="A297"/>
      <c r="B297"/>
      <c r="C297"/>
      <c r="D297"/>
      <c r="E297"/>
    </row>
    <row r="298" spans="1:5" x14ac:dyDescent="0.25">
      <c r="A298"/>
      <c r="B298"/>
      <c r="C298"/>
      <c r="D298"/>
      <c r="E298"/>
    </row>
    <row r="299" spans="1:5" x14ac:dyDescent="0.25">
      <c r="A299"/>
      <c r="B299"/>
      <c r="C299"/>
      <c r="D299"/>
      <c r="E299"/>
    </row>
    <row r="300" spans="1:5" x14ac:dyDescent="0.25">
      <c r="A300"/>
      <c r="B300"/>
      <c r="C300"/>
      <c r="D300"/>
      <c r="E300"/>
    </row>
    <row r="301" spans="1:5" x14ac:dyDescent="0.25">
      <c r="A301"/>
      <c r="B301"/>
      <c r="C301"/>
      <c r="D301"/>
      <c r="E301"/>
    </row>
    <row r="302" spans="1:5" x14ac:dyDescent="0.25">
      <c r="A302"/>
      <c r="B302"/>
      <c r="C302"/>
      <c r="D302"/>
      <c r="E302"/>
    </row>
    <row r="303" spans="1:5" x14ac:dyDescent="0.25">
      <c r="A303"/>
      <c r="B303"/>
      <c r="C303"/>
      <c r="D303"/>
      <c r="E303"/>
    </row>
    <row r="304" spans="1:5" x14ac:dyDescent="0.25">
      <c r="A304"/>
      <c r="B304"/>
      <c r="C304"/>
      <c r="D304"/>
      <c r="E304"/>
    </row>
    <row r="305" spans="1:5" x14ac:dyDescent="0.25">
      <c r="A305"/>
      <c r="B305"/>
      <c r="C305"/>
      <c r="D305"/>
      <c r="E305"/>
    </row>
    <row r="306" spans="1:5" x14ac:dyDescent="0.25">
      <c r="A306"/>
      <c r="B306"/>
      <c r="C306"/>
      <c r="D306"/>
      <c r="E306"/>
    </row>
    <row r="307" spans="1:5" x14ac:dyDescent="0.25">
      <c r="A307"/>
      <c r="B307"/>
      <c r="C307"/>
      <c r="D307"/>
      <c r="E307"/>
    </row>
    <row r="308" spans="1:5" x14ac:dyDescent="0.25">
      <c r="A308"/>
      <c r="B308"/>
      <c r="C308"/>
      <c r="D308"/>
      <c r="E308"/>
    </row>
    <row r="309" spans="1:5" x14ac:dyDescent="0.25">
      <c r="A309"/>
      <c r="B309"/>
      <c r="C309"/>
      <c r="D309"/>
      <c r="E309"/>
    </row>
    <row r="310" spans="1:5" x14ac:dyDescent="0.25">
      <c r="A310"/>
      <c r="B310"/>
      <c r="C310"/>
      <c r="D310"/>
      <c r="E310"/>
    </row>
    <row r="311" spans="1:5" x14ac:dyDescent="0.25">
      <c r="A311"/>
      <c r="B311"/>
      <c r="C311"/>
      <c r="D311"/>
      <c r="E311"/>
    </row>
    <row r="312" spans="1:5" x14ac:dyDescent="0.25">
      <c r="A312"/>
      <c r="B312"/>
      <c r="C312"/>
      <c r="D312"/>
      <c r="E312"/>
    </row>
    <row r="313" spans="1:5" x14ac:dyDescent="0.25">
      <c r="A313"/>
      <c r="B313"/>
      <c r="C313"/>
      <c r="D313"/>
      <c r="E313"/>
    </row>
    <row r="314" spans="1:5" x14ac:dyDescent="0.25">
      <c r="A314"/>
      <c r="B314"/>
      <c r="C314"/>
      <c r="D314"/>
      <c r="E314"/>
    </row>
    <row r="315" spans="1:5" x14ac:dyDescent="0.25">
      <c r="A315"/>
      <c r="B315"/>
      <c r="C315"/>
      <c r="D315"/>
      <c r="E315"/>
    </row>
    <row r="316" spans="1:5" x14ac:dyDescent="0.25">
      <c r="A316"/>
      <c r="B316"/>
      <c r="C316"/>
      <c r="D316"/>
      <c r="E316"/>
    </row>
    <row r="317" spans="1:5" x14ac:dyDescent="0.25">
      <c r="A317"/>
      <c r="B317"/>
      <c r="C317"/>
      <c r="D317"/>
      <c r="E317"/>
    </row>
    <row r="318" spans="1:5" x14ac:dyDescent="0.25">
      <c r="A318"/>
      <c r="B318"/>
      <c r="C318"/>
      <c r="D318"/>
      <c r="E318"/>
    </row>
    <row r="319" spans="1:5" x14ac:dyDescent="0.25">
      <c r="A319"/>
      <c r="B319"/>
      <c r="C319"/>
      <c r="D319"/>
      <c r="E319"/>
    </row>
    <row r="320" spans="1:5" x14ac:dyDescent="0.25">
      <c r="A320"/>
      <c r="B320"/>
      <c r="C320"/>
      <c r="D320"/>
      <c r="E320"/>
    </row>
    <row r="321" spans="1:5" x14ac:dyDescent="0.25">
      <c r="A321"/>
      <c r="B321"/>
      <c r="C321"/>
      <c r="D321"/>
      <c r="E321"/>
    </row>
    <row r="322" spans="1:5" x14ac:dyDescent="0.25">
      <c r="A322"/>
      <c r="B322"/>
      <c r="C322"/>
      <c r="D322"/>
      <c r="E322"/>
    </row>
    <row r="323" spans="1:5" x14ac:dyDescent="0.25">
      <c r="A323"/>
      <c r="B323"/>
      <c r="C323"/>
      <c r="D323"/>
      <c r="E323"/>
    </row>
    <row r="324" spans="1:5" x14ac:dyDescent="0.25">
      <c r="A324"/>
      <c r="B324"/>
      <c r="C324"/>
      <c r="D324"/>
      <c r="E324"/>
    </row>
    <row r="325" spans="1:5" x14ac:dyDescent="0.25">
      <c r="A325"/>
      <c r="B325"/>
      <c r="C325"/>
      <c r="D325"/>
      <c r="E325"/>
    </row>
    <row r="326" spans="1:5" x14ac:dyDescent="0.25">
      <c r="A326"/>
      <c r="B326"/>
      <c r="C326"/>
      <c r="D326"/>
      <c r="E326"/>
    </row>
    <row r="327" spans="1:5" x14ac:dyDescent="0.25">
      <c r="A327"/>
      <c r="B327"/>
      <c r="C327"/>
      <c r="D327"/>
      <c r="E327"/>
    </row>
    <row r="328" spans="1:5" x14ac:dyDescent="0.25">
      <c r="A328"/>
      <c r="B328"/>
      <c r="C328"/>
      <c r="D328"/>
      <c r="E328"/>
    </row>
    <row r="329" spans="1:5" x14ac:dyDescent="0.25">
      <c r="A329"/>
      <c r="B329"/>
      <c r="C329"/>
      <c r="D329"/>
      <c r="E329"/>
    </row>
    <row r="330" spans="1:5" x14ac:dyDescent="0.25">
      <c r="A330"/>
      <c r="B330"/>
      <c r="C330"/>
      <c r="D330"/>
      <c r="E330"/>
    </row>
    <row r="331" spans="1:5" x14ac:dyDescent="0.25">
      <c r="A331"/>
      <c r="B331"/>
      <c r="C331"/>
      <c r="D331"/>
      <c r="E331"/>
    </row>
    <row r="332" spans="1:5" x14ac:dyDescent="0.25">
      <c r="A332"/>
      <c r="B332"/>
      <c r="C332"/>
      <c r="D332"/>
      <c r="E332"/>
    </row>
    <row r="333" spans="1:5" x14ac:dyDescent="0.25">
      <c r="A333"/>
      <c r="B333"/>
      <c r="C333"/>
      <c r="D333"/>
      <c r="E333"/>
    </row>
    <row r="334" spans="1:5" x14ac:dyDescent="0.25">
      <c r="A334"/>
      <c r="B334"/>
      <c r="C334"/>
      <c r="D334"/>
      <c r="E334"/>
    </row>
    <row r="335" spans="1:5" x14ac:dyDescent="0.25">
      <c r="A335"/>
      <c r="B335"/>
      <c r="C335"/>
      <c r="D335"/>
      <c r="E335"/>
    </row>
    <row r="336" spans="1:5" x14ac:dyDescent="0.25">
      <c r="A336"/>
      <c r="B336"/>
      <c r="C336"/>
      <c r="D336"/>
      <c r="E336"/>
    </row>
    <row r="337" spans="1:5" x14ac:dyDescent="0.25">
      <c r="A337"/>
      <c r="B337"/>
      <c r="C337"/>
      <c r="D337"/>
      <c r="E337"/>
    </row>
    <row r="338" spans="1:5" x14ac:dyDescent="0.25">
      <c r="A338"/>
      <c r="B338"/>
      <c r="C338"/>
      <c r="D338"/>
      <c r="E338"/>
    </row>
    <row r="339" spans="1:5" x14ac:dyDescent="0.25">
      <c r="A339"/>
      <c r="B339"/>
      <c r="C339"/>
      <c r="D339"/>
      <c r="E339"/>
    </row>
    <row r="340" spans="1:5" x14ac:dyDescent="0.25">
      <c r="A340"/>
      <c r="B340"/>
      <c r="C340"/>
      <c r="D340"/>
      <c r="E340"/>
    </row>
    <row r="341" spans="1:5" x14ac:dyDescent="0.25">
      <c r="A341"/>
      <c r="B341"/>
      <c r="C341"/>
      <c r="D341"/>
      <c r="E341"/>
    </row>
    <row r="342" spans="1:5" x14ac:dyDescent="0.25">
      <c r="A342"/>
      <c r="B342"/>
      <c r="C342"/>
      <c r="D342"/>
      <c r="E342"/>
    </row>
    <row r="343" spans="1:5" x14ac:dyDescent="0.25">
      <c r="A343"/>
      <c r="B343"/>
      <c r="C343"/>
      <c r="D343"/>
      <c r="E343"/>
    </row>
    <row r="344" spans="1:5" x14ac:dyDescent="0.25">
      <c r="A344"/>
      <c r="B344"/>
      <c r="C344"/>
      <c r="D344"/>
      <c r="E344"/>
    </row>
    <row r="345" spans="1:5" x14ac:dyDescent="0.25">
      <c r="A345"/>
      <c r="B345"/>
      <c r="C345"/>
      <c r="D345"/>
      <c r="E345"/>
    </row>
    <row r="346" spans="1:5" x14ac:dyDescent="0.25">
      <c r="A346"/>
      <c r="B346"/>
      <c r="C346"/>
      <c r="D346"/>
      <c r="E346"/>
    </row>
    <row r="347" spans="1:5" x14ac:dyDescent="0.25">
      <c r="A347"/>
      <c r="B347"/>
      <c r="C347"/>
      <c r="D347"/>
      <c r="E347"/>
    </row>
    <row r="348" spans="1:5" x14ac:dyDescent="0.25">
      <c r="A348"/>
      <c r="B348"/>
      <c r="C348"/>
      <c r="D348"/>
      <c r="E348"/>
    </row>
    <row r="349" spans="1:5" x14ac:dyDescent="0.25">
      <c r="A349"/>
      <c r="B349"/>
      <c r="C349"/>
      <c r="D349"/>
      <c r="E349"/>
    </row>
    <row r="350" spans="1:5" x14ac:dyDescent="0.25">
      <c r="A350"/>
      <c r="B350"/>
      <c r="C350"/>
      <c r="D350"/>
      <c r="E350"/>
    </row>
    <row r="351" spans="1:5" x14ac:dyDescent="0.25">
      <c r="A351"/>
      <c r="B351"/>
      <c r="C351"/>
      <c r="D351"/>
      <c r="E351"/>
    </row>
    <row r="352" spans="1:5" x14ac:dyDescent="0.25">
      <c r="A352"/>
      <c r="B352"/>
      <c r="C352"/>
      <c r="D352"/>
      <c r="E352"/>
    </row>
    <row r="353" spans="1:5" x14ac:dyDescent="0.25">
      <c r="A353"/>
      <c r="B353"/>
      <c r="C353"/>
      <c r="D353"/>
      <c r="E353"/>
    </row>
    <row r="354" spans="1:5" x14ac:dyDescent="0.25">
      <c r="A354"/>
      <c r="B354"/>
      <c r="C354"/>
      <c r="D354"/>
      <c r="E354"/>
    </row>
    <row r="355" spans="1:5" x14ac:dyDescent="0.25">
      <c r="A355"/>
      <c r="B355"/>
      <c r="C355"/>
      <c r="D355"/>
      <c r="E355"/>
    </row>
    <row r="356" spans="1:5" x14ac:dyDescent="0.25">
      <c r="A356"/>
      <c r="B356"/>
      <c r="C356"/>
      <c r="D356"/>
      <c r="E356"/>
    </row>
    <row r="357" spans="1:5" x14ac:dyDescent="0.25">
      <c r="A357"/>
      <c r="B357"/>
      <c r="C357"/>
      <c r="D357"/>
      <c r="E357"/>
    </row>
    <row r="358" spans="1:5" x14ac:dyDescent="0.25">
      <c r="A358"/>
      <c r="B358"/>
      <c r="C358"/>
      <c r="D358"/>
      <c r="E358"/>
    </row>
    <row r="359" spans="1:5" x14ac:dyDescent="0.25">
      <c r="A359"/>
      <c r="B359"/>
      <c r="C359"/>
      <c r="D359"/>
      <c r="E359"/>
    </row>
    <row r="360" spans="1:5" x14ac:dyDescent="0.25">
      <c r="A360"/>
      <c r="B360"/>
      <c r="C360"/>
      <c r="D360"/>
      <c r="E360"/>
    </row>
    <row r="361" spans="1:5" x14ac:dyDescent="0.25">
      <c r="A361"/>
      <c r="B361"/>
      <c r="C361"/>
      <c r="D361"/>
      <c r="E361"/>
    </row>
    <row r="362" spans="1:5" x14ac:dyDescent="0.25">
      <c r="A362"/>
      <c r="B362"/>
      <c r="C362"/>
      <c r="D362"/>
      <c r="E362"/>
    </row>
    <row r="363" spans="1:5" x14ac:dyDescent="0.25">
      <c r="A363"/>
      <c r="B363"/>
      <c r="C363"/>
      <c r="D363"/>
      <c r="E363"/>
    </row>
    <row r="364" spans="1:5" x14ac:dyDescent="0.25">
      <c r="A364"/>
      <c r="B364"/>
      <c r="C364"/>
      <c r="D364"/>
      <c r="E364"/>
    </row>
    <row r="365" spans="1:5" x14ac:dyDescent="0.25">
      <c r="A365"/>
      <c r="B365"/>
      <c r="C365"/>
      <c r="D365"/>
      <c r="E365"/>
    </row>
    <row r="366" spans="1:5" x14ac:dyDescent="0.25">
      <c r="A366"/>
      <c r="B366"/>
      <c r="C366"/>
      <c r="D366"/>
      <c r="E366"/>
    </row>
    <row r="367" spans="1:5" x14ac:dyDescent="0.25">
      <c r="A367"/>
      <c r="B367"/>
      <c r="C367"/>
      <c r="D367"/>
      <c r="E367"/>
    </row>
    <row r="368" spans="1:5" x14ac:dyDescent="0.25">
      <c r="A368"/>
      <c r="B368"/>
      <c r="C368"/>
      <c r="D368"/>
      <c r="E368"/>
    </row>
    <row r="369" spans="1:5" x14ac:dyDescent="0.25">
      <c r="A369"/>
      <c r="B369"/>
      <c r="C369"/>
      <c r="D369"/>
      <c r="E369"/>
    </row>
    <row r="370" spans="1:5" x14ac:dyDescent="0.25">
      <c r="A370"/>
      <c r="B370"/>
      <c r="C370"/>
      <c r="D370"/>
      <c r="E370"/>
    </row>
    <row r="371" spans="1:5" x14ac:dyDescent="0.25">
      <c r="A371"/>
      <c r="B371"/>
      <c r="C371"/>
      <c r="D371"/>
      <c r="E371"/>
    </row>
    <row r="372" spans="1:5" x14ac:dyDescent="0.25">
      <c r="A372"/>
      <c r="B372"/>
      <c r="C372"/>
      <c r="D372"/>
      <c r="E372"/>
    </row>
    <row r="373" spans="1:5" x14ac:dyDescent="0.25">
      <c r="A373"/>
      <c r="B373"/>
      <c r="C373"/>
      <c r="D373"/>
      <c r="E373"/>
    </row>
    <row r="374" spans="1:5" x14ac:dyDescent="0.25">
      <c r="A374"/>
      <c r="B374"/>
      <c r="C374"/>
      <c r="D374"/>
      <c r="E374"/>
    </row>
    <row r="375" spans="1:5" x14ac:dyDescent="0.25">
      <c r="A375"/>
      <c r="B375"/>
      <c r="C375"/>
      <c r="D375"/>
      <c r="E375"/>
    </row>
    <row r="376" spans="1:5" x14ac:dyDescent="0.25">
      <c r="A376"/>
      <c r="B376"/>
      <c r="C376"/>
      <c r="D376"/>
      <c r="E376"/>
    </row>
    <row r="377" spans="1:5" x14ac:dyDescent="0.25">
      <c r="A377"/>
      <c r="B377"/>
      <c r="C377"/>
      <c r="D377"/>
      <c r="E377"/>
    </row>
    <row r="378" spans="1:5" x14ac:dyDescent="0.25">
      <c r="A378"/>
      <c r="B378"/>
      <c r="C378"/>
      <c r="D378"/>
      <c r="E378"/>
    </row>
    <row r="379" spans="1:5" x14ac:dyDescent="0.25">
      <c r="A379"/>
      <c r="B379"/>
      <c r="C379"/>
      <c r="D379"/>
      <c r="E379"/>
    </row>
    <row r="380" spans="1:5" x14ac:dyDescent="0.25">
      <c r="A380"/>
      <c r="B380"/>
      <c r="C380"/>
      <c r="D380"/>
      <c r="E380"/>
    </row>
    <row r="381" spans="1:5" x14ac:dyDescent="0.25">
      <c r="A381"/>
      <c r="B381"/>
      <c r="C381"/>
      <c r="D381"/>
      <c r="E381"/>
    </row>
    <row r="382" spans="1:5" x14ac:dyDescent="0.25">
      <c r="A382"/>
      <c r="B382"/>
      <c r="C382"/>
      <c r="D382"/>
      <c r="E382"/>
    </row>
    <row r="383" spans="1:5" x14ac:dyDescent="0.25">
      <c r="A383"/>
      <c r="B383"/>
      <c r="C383"/>
      <c r="D383"/>
      <c r="E383"/>
    </row>
    <row r="384" spans="1:5" x14ac:dyDescent="0.25">
      <c r="A384"/>
      <c r="B384"/>
      <c r="C384"/>
      <c r="D384"/>
      <c r="E384"/>
    </row>
    <row r="385" spans="1:5" x14ac:dyDescent="0.25">
      <c r="A385"/>
      <c r="B385"/>
      <c r="C385"/>
      <c r="D385"/>
      <c r="E385"/>
    </row>
    <row r="386" spans="1:5" x14ac:dyDescent="0.25">
      <c r="A386"/>
      <c r="B386"/>
      <c r="C386"/>
      <c r="D386"/>
      <c r="E386"/>
    </row>
    <row r="387" spans="1:5" x14ac:dyDescent="0.25">
      <c r="A387"/>
      <c r="B387"/>
      <c r="C387"/>
      <c r="D387"/>
      <c r="E387"/>
    </row>
    <row r="388" spans="1:5" x14ac:dyDescent="0.25">
      <c r="A388"/>
      <c r="B388"/>
      <c r="C388"/>
      <c r="D388"/>
      <c r="E388"/>
    </row>
    <row r="389" spans="1:5" x14ac:dyDescent="0.25">
      <c r="A389"/>
      <c r="B389"/>
      <c r="C389"/>
      <c r="D389"/>
      <c r="E389"/>
    </row>
    <row r="390" spans="1:5" x14ac:dyDescent="0.25">
      <c r="A390"/>
      <c r="B390"/>
      <c r="C390"/>
      <c r="D390"/>
      <c r="E390"/>
    </row>
    <row r="391" spans="1:5" x14ac:dyDescent="0.25">
      <c r="A391"/>
      <c r="B391"/>
      <c r="C391"/>
      <c r="D391"/>
      <c r="E391"/>
    </row>
    <row r="392" spans="1:5" x14ac:dyDescent="0.25">
      <c r="A392"/>
      <c r="B392"/>
      <c r="C392"/>
      <c r="D392"/>
      <c r="E392"/>
    </row>
    <row r="393" spans="1:5" x14ac:dyDescent="0.25">
      <c r="A393"/>
      <c r="B393"/>
      <c r="C393"/>
      <c r="D393"/>
      <c r="E393"/>
    </row>
    <row r="394" spans="1:5" x14ac:dyDescent="0.25">
      <c r="A394"/>
      <c r="B394"/>
      <c r="C394"/>
      <c r="D394"/>
      <c r="E394"/>
    </row>
    <row r="395" spans="1:5" x14ac:dyDescent="0.25">
      <c r="A395"/>
      <c r="B395"/>
      <c r="C395"/>
      <c r="D395"/>
      <c r="E395"/>
    </row>
    <row r="396" spans="1:5" x14ac:dyDescent="0.25">
      <c r="A396"/>
      <c r="B396"/>
      <c r="C396"/>
      <c r="D396"/>
      <c r="E396"/>
    </row>
    <row r="397" spans="1:5" x14ac:dyDescent="0.25">
      <c r="A397"/>
      <c r="B397"/>
      <c r="C397"/>
      <c r="D397"/>
      <c r="E397"/>
    </row>
    <row r="398" spans="1:5" x14ac:dyDescent="0.25">
      <c r="A398"/>
      <c r="B398"/>
      <c r="C398"/>
      <c r="D398"/>
      <c r="E398"/>
    </row>
    <row r="399" spans="1:5" x14ac:dyDescent="0.25">
      <c r="A399"/>
      <c r="B399"/>
      <c r="C399"/>
      <c r="D399"/>
      <c r="E399"/>
    </row>
    <row r="400" spans="1:5" x14ac:dyDescent="0.25">
      <c r="A400"/>
      <c r="B400"/>
      <c r="C400"/>
      <c r="D400"/>
      <c r="E400"/>
    </row>
    <row r="401" spans="1:5" x14ac:dyDescent="0.25">
      <c r="A401"/>
      <c r="B401"/>
      <c r="C401"/>
      <c r="D401"/>
      <c r="E401"/>
    </row>
    <row r="402" spans="1:5" x14ac:dyDescent="0.25">
      <c r="A402"/>
      <c r="B402"/>
      <c r="C402"/>
      <c r="D402"/>
      <c r="E402"/>
    </row>
    <row r="403" spans="1:5" x14ac:dyDescent="0.25">
      <c r="A403"/>
      <c r="B403"/>
      <c r="C403"/>
      <c r="D403"/>
      <c r="E403"/>
    </row>
    <row r="404" spans="1:5" x14ac:dyDescent="0.25">
      <c r="A404"/>
      <c r="B404"/>
      <c r="C404"/>
      <c r="D404"/>
      <c r="E404"/>
    </row>
    <row r="405" spans="1:5" x14ac:dyDescent="0.25">
      <c r="A405"/>
      <c r="B405"/>
      <c r="C405"/>
      <c r="D405"/>
      <c r="E405"/>
    </row>
    <row r="406" spans="1:5" x14ac:dyDescent="0.25">
      <c r="A406"/>
      <c r="B406"/>
      <c r="C406"/>
      <c r="D406"/>
      <c r="E406"/>
    </row>
    <row r="407" spans="1:5" x14ac:dyDescent="0.25">
      <c r="A407"/>
      <c r="B407"/>
      <c r="C407"/>
      <c r="D407"/>
      <c r="E407"/>
    </row>
    <row r="408" spans="1:5" x14ac:dyDescent="0.25">
      <c r="A408"/>
      <c r="B408"/>
      <c r="C408"/>
      <c r="D408"/>
      <c r="E408"/>
    </row>
    <row r="409" spans="1:5" x14ac:dyDescent="0.25">
      <c r="A409"/>
      <c r="B409"/>
      <c r="C409"/>
      <c r="D409"/>
      <c r="E409"/>
    </row>
    <row r="410" spans="1:5" x14ac:dyDescent="0.25">
      <c r="A410"/>
      <c r="B410"/>
      <c r="C410"/>
      <c r="D410"/>
      <c r="E410"/>
    </row>
    <row r="411" spans="1:5" x14ac:dyDescent="0.25">
      <c r="A411"/>
      <c r="B411"/>
      <c r="C411"/>
      <c r="D411"/>
      <c r="E411"/>
    </row>
    <row r="412" spans="1:5" x14ac:dyDescent="0.25">
      <c r="A412"/>
      <c r="B412"/>
      <c r="C412"/>
      <c r="D412"/>
      <c r="E412"/>
    </row>
    <row r="413" spans="1:5" x14ac:dyDescent="0.25">
      <c r="A413"/>
      <c r="B413"/>
      <c r="C413"/>
      <c r="D413"/>
      <c r="E413"/>
    </row>
    <row r="414" spans="1:5" x14ac:dyDescent="0.25">
      <c r="A414"/>
      <c r="B414"/>
      <c r="C414"/>
      <c r="D414"/>
      <c r="E414"/>
    </row>
    <row r="415" spans="1:5" x14ac:dyDescent="0.25">
      <c r="A415"/>
      <c r="B415"/>
      <c r="C415"/>
      <c r="D415"/>
      <c r="E415"/>
    </row>
    <row r="416" spans="1:5" x14ac:dyDescent="0.25">
      <c r="A416"/>
      <c r="B416"/>
      <c r="C416"/>
      <c r="D416"/>
      <c r="E416"/>
    </row>
    <row r="417" spans="1:5" x14ac:dyDescent="0.25">
      <c r="A417"/>
      <c r="B417"/>
      <c r="C417"/>
      <c r="D417"/>
      <c r="E417"/>
    </row>
    <row r="418" spans="1:5" x14ac:dyDescent="0.25">
      <c r="A418"/>
      <c r="B418"/>
      <c r="C418"/>
      <c r="D418"/>
      <c r="E418"/>
    </row>
    <row r="419" spans="1:5" x14ac:dyDescent="0.25">
      <c r="A419"/>
      <c r="B419"/>
      <c r="C419"/>
      <c r="D419"/>
      <c r="E419"/>
    </row>
    <row r="420" spans="1:5" x14ac:dyDescent="0.25">
      <c r="A420"/>
      <c r="B420"/>
      <c r="C420"/>
      <c r="D420"/>
      <c r="E420"/>
    </row>
    <row r="421" spans="1:5" x14ac:dyDescent="0.25">
      <c r="A421"/>
      <c r="B421"/>
      <c r="C421"/>
      <c r="D421"/>
      <c r="E421"/>
    </row>
    <row r="422" spans="1:5" x14ac:dyDescent="0.25">
      <c r="A422"/>
      <c r="B422"/>
      <c r="C422"/>
      <c r="D422"/>
      <c r="E422"/>
    </row>
    <row r="423" spans="1:5" x14ac:dyDescent="0.25">
      <c r="A423"/>
      <c r="B423"/>
      <c r="C423"/>
      <c r="D423"/>
      <c r="E423"/>
    </row>
    <row r="424" spans="1:5" x14ac:dyDescent="0.25">
      <c r="A424"/>
      <c r="B424"/>
      <c r="C424"/>
      <c r="D424"/>
      <c r="E424"/>
    </row>
    <row r="425" spans="1:5" x14ac:dyDescent="0.25">
      <c r="A425"/>
      <c r="B425"/>
      <c r="C425"/>
      <c r="D425"/>
      <c r="E425"/>
    </row>
    <row r="426" spans="1:5" x14ac:dyDescent="0.25">
      <c r="A426"/>
      <c r="B426"/>
      <c r="C426"/>
      <c r="D426"/>
      <c r="E426"/>
    </row>
    <row r="427" spans="1:5" x14ac:dyDescent="0.25">
      <c r="A427"/>
      <c r="B427"/>
      <c r="C427"/>
      <c r="D427"/>
      <c r="E427"/>
    </row>
    <row r="428" spans="1:5" x14ac:dyDescent="0.25">
      <c r="A428"/>
      <c r="B428"/>
      <c r="C428"/>
      <c r="D428"/>
      <c r="E428"/>
    </row>
    <row r="429" spans="1:5" x14ac:dyDescent="0.25">
      <c r="A429"/>
      <c r="B429"/>
      <c r="C429"/>
      <c r="D429"/>
      <c r="E429"/>
    </row>
    <row r="430" spans="1:5" x14ac:dyDescent="0.25">
      <c r="A430"/>
      <c r="B430"/>
      <c r="C430"/>
      <c r="D430"/>
      <c r="E430"/>
    </row>
    <row r="431" spans="1:5" x14ac:dyDescent="0.25">
      <c r="A431"/>
      <c r="B431"/>
      <c r="C431"/>
      <c r="D431"/>
      <c r="E431"/>
    </row>
    <row r="432" spans="1:5" x14ac:dyDescent="0.25">
      <c r="A432"/>
      <c r="B432"/>
      <c r="C432"/>
      <c r="D432"/>
      <c r="E432"/>
    </row>
    <row r="433" spans="1:5" x14ac:dyDescent="0.25">
      <c r="A433"/>
      <c r="B433"/>
      <c r="C433"/>
      <c r="D433"/>
      <c r="E433"/>
    </row>
    <row r="434" spans="1:5" x14ac:dyDescent="0.25">
      <c r="A434"/>
      <c r="B434"/>
      <c r="C434"/>
      <c r="D434"/>
      <c r="E434"/>
    </row>
    <row r="435" spans="1:5" x14ac:dyDescent="0.25">
      <c r="A435"/>
      <c r="B435"/>
      <c r="C435"/>
      <c r="D435"/>
      <c r="E435"/>
    </row>
    <row r="436" spans="1:5" x14ac:dyDescent="0.25">
      <c r="A436"/>
      <c r="B436"/>
      <c r="C436"/>
      <c r="D436"/>
      <c r="E436"/>
    </row>
    <row r="437" spans="1:5" x14ac:dyDescent="0.25">
      <c r="A437"/>
      <c r="B437"/>
      <c r="C437"/>
      <c r="D437"/>
      <c r="E437"/>
    </row>
    <row r="438" spans="1:5" x14ac:dyDescent="0.25">
      <c r="A438"/>
      <c r="B438"/>
      <c r="C438"/>
      <c r="D438"/>
      <c r="E438"/>
    </row>
    <row r="439" spans="1:5" x14ac:dyDescent="0.25">
      <c r="A439"/>
      <c r="B439"/>
      <c r="C439"/>
      <c r="D439"/>
      <c r="E439"/>
    </row>
    <row r="440" spans="1:5" x14ac:dyDescent="0.25">
      <c r="A440"/>
      <c r="B440"/>
      <c r="C440"/>
      <c r="D440"/>
      <c r="E440"/>
    </row>
    <row r="441" spans="1:5" x14ac:dyDescent="0.25">
      <c r="A441"/>
      <c r="B441"/>
      <c r="C441"/>
      <c r="D441"/>
      <c r="E441"/>
    </row>
    <row r="442" spans="1:5" x14ac:dyDescent="0.25">
      <c r="A442"/>
      <c r="B442"/>
      <c r="C442"/>
      <c r="D442"/>
      <c r="E442"/>
    </row>
    <row r="443" spans="1:5" x14ac:dyDescent="0.25">
      <c r="A443"/>
      <c r="B443"/>
      <c r="C443"/>
      <c r="D443"/>
      <c r="E443"/>
    </row>
    <row r="444" spans="1:5" x14ac:dyDescent="0.25">
      <c r="A444"/>
      <c r="B444"/>
      <c r="C444"/>
      <c r="D444"/>
      <c r="E444"/>
    </row>
    <row r="445" spans="1:5" x14ac:dyDescent="0.25">
      <c r="A445"/>
      <c r="B445"/>
      <c r="C445"/>
      <c r="D445"/>
      <c r="E445"/>
    </row>
    <row r="446" spans="1:5" x14ac:dyDescent="0.25">
      <c r="A446"/>
      <c r="B446"/>
      <c r="C446"/>
      <c r="D446"/>
      <c r="E446"/>
    </row>
    <row r="447" spans="1:5" x14ac:dyDescent="0.25">
      <c r="A447"/>
      <c r="B447"/>
      <c r="C447"/>
      <c r="D447"/>
      <c r="E447"/>
    </row>
    <row r="448" spans="1:5" x14ac:dyDescent="0.25">
      <c r="A448"/>
      <c r="B448"/>
      <c r="C448"/>
      <c r="D448"/>
      <c r="E448"/>
    </row>
    <row r="449" spans="1:5" x14ac:dyDescent="0.25">
      <c r="A449"/>
      <c r="B449"/>
      <c r="C449"/>
      <c r="D449"/>
      <c r="E449"/>
    </row>
    <row r="450" spans="1:5" x14ac:dyDescent="0.25">
      <c r="A450"/>
      <c r="B450"/>
      <c r="C450"/>
      <c r="D450"/>
      <c r="E450"/>
    </row>
    <row r="451" spans="1:5" x14ac:dyDescent="0.25">
      <c r="A451"/>
      <c r="B451"/>
      <c r="C451"/>
      <c r="D451"/>
      <c r="E451"/>
    </row>
    <row r="452" spans="1:5" x14ac:dyDescent="0.25">
      <c r="A452"/>
      <c r="B452"/>
      <c r="C452"/>
      <c r="D452"/>
      <c r="E452"/>
    </row>
    <row r="453" spans="1:5" x14ac:dyDescent="0.25">
      <c r="A453"/>
      <c r="B453"/>
      <c r="C453"/>
      <c r="D453"/>
      <c r="E453"/>
    </row>
    <row r="454" spans="1:5" x14ac:dyDescent="0.25">
      <c r="A454"/>
      <c r="B454"/>
      <c r="C454"/>
      <c r="D454"/>
      <c r="E454"/>
    </row>
    <row r="455" spans="1:5" x14ac:dyDescent="0.25">
      <c r="A455"/>
      <c r="B455"/>
      <c r="C455"/>
      <c r="D455"/>
      <c r="E455"/>
    </row>
    <row r="456" spans="1:5" x14ac:dyDescent="0.25">
      <c r="A456"/>
      <c r="B456"/>
      <c r="C456"/>
      <c r="D456"/>
      <c r="E456"/>
    </row>
    <row r="457" spans="1:5" x14ac:dyDescent="0.25">
      <c r="A457"/>
      <c r="B457"/>
      <c r="C457"/>
      <c r="D457"/>
      <c r="E457"/>
    </row>
    <row r="458" spans="1:5" x14ac:dyDescent="0.25">
      <c r="A458"/>
      <c r="B458"/>
      <c r="C458"/>
      <c r="D458"/>
      <c r="E458"/>
    </row>
    <row r="459" spans="1:5" x14ac:dyDescent="0.25">
      <c r="A459"/>
      <c r="B459"/>
      <c r="C459"/>
      <c r="D459"/>
      <c r="E459"/>
    </row>
    <row r="460" spans="1:5" x14ac:dyDescent="0.25">
      <c r="A460"/>
      <c r="B460"/>
      <c r="C460"/>
      <c r="D460"/>
      <c r="E460"/>
    </row>
    <row r="461" spans="1:5" x14ac:dyDescent="0.25">
      <c r="A461"/>
      <c r="B461"/>
      <c r="C461"/>
      <c r="D461"/>
      <c r="E461"/>
    </row>
    <row r="462" spans="1:5" x14ac:dyDescent="0.25">
      <c r="A462"/>
      <c r="B462"/>
      <c r="C462"/>
      <c r="D462"/>
      <c r="E462"/>
    </row>
    <row r="463" spans="1:5" x14ac:dyDescent="0.25">
      <c r="A463"/>
      <c r="B463"/>
      <c r="C463"/>
      <c r="D463"/>
      <c r="E463"/>
    </row>
    <row r="464" spans="1:5" x14ac:dyDescent="0.25">
      <c r="A464"/>
      <c r="B464"/>
      <c r="C464"/>
      <c r="D464"/>
      <c r="E464"/>
    </row>
    <row r="465" spans="1:5" x14ac:dyDescent="0.25">
      <c r="A465"/>
      <c r="B465"/>
      <c r="C465"/>
      <c r="D465"/>
      <c r="E465"/>
    </row>
    <row r="466" spans="1:5" x14ac:dyDescent="0.25">
      <c r="A466"/>
      <c r="B466"/>
      <c r="C466"/>
      <c r="D466"/>
      <c r="E466"/>
    </row>
    <row r="467" spans="1:5" x14ac:dyDescent="0.25">
      <c r="A467"/>
      <c r="B467"/>
      <c r="C467"/>
      <c r="D467"/>
      <c r="E467"/>
    </row>
    <row r="468" spans="1:5" x14ac:dyDescent="0.25">
      <c r="A468"/>
      <c r="B468"/>
      <c r="C468"/>
      <c r="D468"/>
      <c r="E468"/>
    </row>
    <row r="469" spans="1:5" x14ac:dyDescent="0.25">
      <c r="A469"/>
      <c r="B469"/>
      <c r="C469"/>
      <c r="D469"/>
      <c r="E469"/>
    </row>
    <row r="470" spans="1:5" x14ac:dyDescent="0.25">
      <c r="A470"/>
      <c r="B470"/>
      <c r="C470"/>
      <c r="D470"/>
      <c r="E470"/>
    </row>
    <row r="471" spans="1:5" x14ac:dyDescent="0.25">
      <c r="A471"/>
      <c r="B471"/>
      <c r="C471"/>
      <c r="D471"/>
      <c r="E471"/>
    </row>
    <row r="472" spans="1:5" x14ac:dyDescent="0.25">
      <c r="A472"/>
      <c r="B472"/>
      <c r="C472"/>
      <c r="D472"/>
      <c r="E472"/>
    </row>
    <row r="473" spans="1:5" x14ac:dyDescent="0.25">
      <c r="A473"/>
      <c r="B473"/>
      <c r="C473"/>
      <c r="D473"/>
      <c r="E473"/>
    </row>
    <row r="474" spans="1:5" x14ac:dyDescent="0.25">
      <c r="A474"/>
      <c r="B474"/>
      <c r="C474"/>
      <c r="D474"/>
      <c r="E474"/>
    </row>
    <row r="475" spans="1:5" x14ac:dyDescent="0.25">
      <c r="A475"/>
      <c r="B475"/>
      <c r="C475"/>
      <c r="D475"/>
      <c r="E475"/>
    </row>
    <row r="476" spans="1:5" x14ac:dyDescent="0.25">
      <c r="A476"/>
      <c r="B476"/>
      <c r="C476"/>
      <c r="D476"/>
      <c r="E476"/>
    </row>
    <row r="477" spans="1:5" x14ac:dyDescent="0.25">
      <c r="A477"/>
      <c r="B477"/>
      <c r="C477"/>
      <c r="D477"/>
      <c r="E477"/>
    </row>
    <row r="478" spans="1:5" x14ac:dyDescent="0.25">
      <c r="A478"/>
      <c r="B478"/>
      <c r="C478"/>
      <c r="D478"/>
      <c r="E478"/>
    </row>
    <row r="479" spans="1:5" x14ac:dyDescent="0.25">
      <c r="A479"/>
      <c r="B479"/>
      <c r="C479"/>
      <c r="D479"/>
      <c r="E479"/>
    </row>
    <row r="480" spans="1:5" x14ac:dyDescent="0.25">
      <c r="A480"/>
      <c r="B480"/>
      <c r="C480"/>
      <c r="D480"/>
      <c r="E480"/>
    </row>
    <row r="481" spans="1:5" x14ac:dyDescent="0.25">
      <c r="A481"/>
      <c r="B481"/>
      <c r="C481"/>
      <c r="D481"/>
      <c r="E481"/>
    </row>
    <row r="482" spans="1:5" x14ac:dyDescent="0.25">
      <c r="A482"/>
      <c r="B482"/>
      <c r="C482"/>
      <c r="D482"/>
      <c r="E482"/>
    </row>
    <row r="483" spans="1:5" x14ac:dyDescent="0.25">
      <c r="A483"/>
      <c r="B483"/>
      <c r="C483"/>
      <c r="D483"/>
      <c r="E483"/>
    </row>
    <row r="484" spans="1:5" x14ac:dyDescent="0.25">
      <c r="A484"/>
      <c r="B484"/>
      <c r="C484"/>
      <c r="D484"/>
      <c r="E484"/>
    </row>
    <row r="485" spans="1:5" x14ac:dyDescent="0.25">
      <c r="A485"/>
      <c r="B485"/>
      <c r="C485"/>
      <c r="D485"/>
      <c r="E485"/>
    </row>
    <row r="486" spans="1:5" x14ac:dyDescent="0.25">
      <c r="A486"/>
      <c r="B486"/>
      <c r="C486"/>
      <c r="D486"/>
      <c r="E486"/>
    </row>
    <row r="487" spans="1:5" x14ac:dyDescent="0.25">
      <c r="A487"/>
      <c r="B487"/>
      <c r="C487"/>
      <c r="D487"/>
      <c r="E487"/>
    </row>
    <row r="488" spans="1:5" x14ac:dyDescent="0.25">
      <c r="A488"/>
      <c r="B488"/>
      <c r="C488"/>
      <c r="D488"/>
      <c r="E488"/>
    </row>
    <row r="489" spans="1:5" x14ac:dyDescent="0.25">
      <c r="A489"/>
      <c r="B489"/>
      <c r="C489"/>
      <c r="D489"/>
      <c r="E489"/>
    </row>
    <row r="490" spans="1:5" x14ac:dyDescent="0.25">
      <c r="A490"/>
      <c r="B490"/>
      <c r="C490"/>
      <c r="D490"/>
      <c r="E490"/>
    </row>
    <row r="491" spans="1:5" x14ac:dyDescent="0.25">
      <c r="A491"/>
      <c r="B491"/>
      <c r="C491"/>
      <c r="D491"/>
      <c r="E491"/>
    </row>
    <row r="492" spans="1:5" x14ac:dyDescent="0.25">
      <c r="A492"/>
      <c r="B492"/>
      <c r="C492"/>
      <c r="D492"/>
      <c r="E492"/>
    </row>
    <row r="493" spans="1:5" x14ac:dyDescent="0.25">
      <c r="A493"/>
      <c r="B493"/>
      <c r="C493"/>
      <c r="D493"/>
      <c r="E493"/>
    </row>
    <row r="494" spans="1:5" x14ac:dyDescent="0.25">
      <c r="A494"/>
      <c r="B494"/>
      <c r="C494"/>
      <c r="D494"/>
      <c r="E494"/>
    </row>
    <row r="495" spans="1:5" x14ac:dyDescent="0.25">
      <c r="A495"/>
      <c r="B495"/>
      <c r="C495"/>
      <c r="D495"/>
      <c r="E495"/>
    </row>
    <row r="496" spans="1:5" x14ac:dyDescent="0.25">
      <c r="A496"/>
      <c r="B496"/>
      <c r="C496"/>
      <c r="D496"/>
      <c r="E496"/>
    </row>
    <row r="497" spans="1:5" x14ac:dyDescent="0.25">
      <c r="A497"/>
      <c r="B497"/>
      <c r="C497"/>
      <c r="D497"/>
      <c r="E497"/>
    </row>
    <row r="498" spans="1:5" x14ac:dyDescent="0.25">
      <c r="A498"/>
      <c r="B498"/>
      <c r="C498"/>
      <c r="D498"/>
      <c r="E498"/>
    </row>
    <row r="499" spans="1:5" x14ac:dyDescent="0.25">
      <c r="A499"/>
      <c r="B499"/>
      <c r="C499"/>
      <c r="D499"/>
      <c r="E499"/>
    </row>
    <row r="500" spans="1:5" x14ac:dyDescent="0.25">
      <c r="A500"/>
      <c r="B500"/>
      <c r="C500"/>
      <c r="D500"/>
      <c r="E500"/>
    </row>
    <row r="501" spans="1:5" x14ac:dyDescent="0.25">
      <c r="A501"/>
      <c r="B501"/>
      <c r="C501"/>
      <c r="D501"/>
      <c r="E501"/>
    </row>
    <row r="502" spans="1:5" x14ac:dyDescent="0.25">
      <c r="A502"/>
      <c r="B502"/>
      <c r="C502"/>
      <c r="D502"/>
      <c r="E502"/>
    </row>
    <row r="503" spans="1:5" x14ac:dyDescent="0.25">
      <c r="A503"/>
      <c r="B503"/>
      <c r="C503"/>
      <c r="D503"/>
      <c r="E503"/>
    </row>
    <row r="504" spans="1:5" x14ac:dyDescent="0.25">
      <c r="A504"/>
      <c r="B504"/>
      <c r="C504"/>
      <c r="D504"/>
      <c r="E504"/>
    </row>
    <row r="505" spans="1:5" x14ac:dyDescent="0.25">
      <c r="A505"/>
      <c r="B505"/>
      <c r="C505"/>
      <c r="D505"/>
      <c r="E505"/>
    </row>
    <row r="506" spans="1:5" x14ac:dyDescent="0.25">
      <c r="A506"/>
      <c r="B506"/>
      <c r="C506"/>
      <c r="D506"/>
      <c r="E506"/>
    </row>
    <row r="507" spans="1:5" x14ac:dyDescent="0.25">
      <c r="A507"/>
      <c r="B507"/>
      <c r="C507"/>
      <c r="D507"/>
      <c r="E507"/>
    </row>
    <row r="508" spans="1:5" x14ac:dyDescent="0.25">
      <c r="A508"/>
      <c r="B508"/>
      <c r="C508"/>
      <c r="D508"/>
      <c r="E508"/>
    </row>
    <row r="509" spans="1:5" x14ac:dyDescent="0.25">
      <c r="A509"/>
      <c r="B509"/>
      <c r="C509"/>
      <c r="D509"/>
      <c r="E509"/>
    </row>
    <row r="510" spans="1:5" x14ac:dyDescent="0.25">
      <c r="A510"/>
      <c r="B510"/>
      <c r="C510"/>
      <c r="D510"/>
      <c r="E510"/>
    </row>
    <row r="511" spans="1:5" x14ac:dyDescent="0.25">
      <c r="A511"/>
      <c r="B511"/>
      <c r="C511"/>
      <c r="D511"/>
      <c r="E511"/>
    </row>
    <row r="512" spans="1:5" x14ac:dyDescent="0.25">
      <c r="A512"/>
      <c r="B512"/>
      <c r="C512"/>
      <c r="D512"/>
      <c r="E512"/>
    </row>
    <row r="513" spans="1:5" x14ac:dyDescent="0.25">
      <c r="A513"/>
      <c r="B513"/>
      <c r="C513"/>
      <c r="D513"/>
      <c r="E513"/>
    </row>
    <row r="514" spans="1:5" x14ac:dyDescent="0.25">
      <c r="A514"/>
      <c r="B514"/>
      <c r="C514"/>
      <c r="D514"/>
      <c r="E514"/>
    </row>
    <row r="515" spans="1:5" x14ac:dyDescent="0.25">
      <c r="A515"/>
      <c r="B515"/>
      <c r="C515"/>
      <c r="D515"/>
      <c r="E515"/>
    </row>
    <row r="516" spans="1:5" x14ac:dyDescent="0.25">
      <c r="A516"/>
      <c r="B516"/>
      <c r="C516"/>
      <c r="D516"/>
      <c r="E516"/>
    </row>
    <row r="517" spans="1:5" x14ac:dyDescent="0.25">
      <c r="A517"/>
      <c r="B517"/>
      <c r="C517"/>
      <c r="D517"/>
      <c r="E517"/>
    </row>
    <row r="518" spans="1:5" x14ac:dyDescent="0.25">
      <c r="A518"/>
      <c r="B518"/>
      <c r="C518"/>
      <c r="D518"/>
      <c r="E518"/>
    </row>
    <row r="519" spans="1:5" x14ac:dyDescent="0.25">
      <c r="A519"/>
      <c r="B519"/>
      <c r="C519"/>
      <c r="D519"/>
      <c r="E519"/>
    </row>
    <row r="520" spans="1:5" x14ac:dyDescent="0.25">
      <c r="A520"/>
      <c r="B520"/>
      <c r="C520"/>
      <c r="D520"/>
      <c r="E520"/>
    </row>
    <row r="521" spans="1:5" x14ac:dyDescent="0.25">
      <c r="A521"/>
      <c r="B521"/>
      <c r="C521"/>
      <c r="D521"/>
      <c r="E521"/>
    </row>
    <row r="522" spans="1:5" x14ac:dyDescent="0.25">
      <c r="A522"/>
      <c r="B522"/>
      <c r="C522"/>
      <c r="D522"/>
      <c r="E522"/>
    </row>
    <row r="523" spans="1:5" x14ac:dyDescent="0.25">
      <c r="A523"/>
      <c r="B523"/>
      <c r="C523"/>
      <c r="D523"/>
      <c r="E523"/>
    </row>
    <row r="524" spans="1:5" x14ac:dyDescent="0.25">
      <c r="A524"/>
      <c r="B524"/>
      <c r="C524"/>
      <c r="D524"/>
      <c r="E524"/>
    </row>
    <row r="525" spans="1:5" x14ac:dyDescent="0.25">
      <c r="A525"/>
      <c r="B525"/>
      <c r="C525"/>
      <c r="D525"/>
      <c r="E525"/>
    </row>
    <row r="526" spans="1:5" x14ac:dyDescent="0.25">
      <c r="A526"/>
      <c r="B526"/>
      <c r="C526"/>
      <c r="D526"/>
      <c r="E526"/>
    </row>
    <row r="527" spans="1:5" x14ac:dyDescent="0.25">
      <c r="A527"/>
      <c r="B527"/>
      <c r="C527"/>
      <c r="D527"/>
      <c r="E527"/>
    </row>
    <row r="528" spans="1:5" x14ac:dyDescent="0.25">
      <c r="A528"/>
      <c r="B528"/>
      <c r="C528"/>
      <c r="D528"/>
      <c r="E528"/>
    </row>
    <row r="529" spans="1:5" x14ac:dyDescent="0.25">
      <c r="A529"/>
      <c r="B529"/>
      <c r="C529"/>
      <c r="D529"/>
      <c r="E529"/>
    </row>
    <row r="530" spans="1:5" x14ac:dyDescent="0.25">
      <c r="A530"/>
      <c r="B530"/>
      <c r="C530"/>
      <c r="D530"/>
      <c r="E530"/>
    </row>
    <row r="531" spans="1:5" x14ac:dyDescent="0.25">
      <c r="A531"/>
      <c r="B531"/>
      <c r="C531"/>
      <c r="D531"/>
      <c r="E531"/>
    </row>
    <row r="532" spans="1:5" x14ac:dyDescent="0.25">
      <c r="A532"/>
      <c r="B532"/>
      <c r="C532"/>
      <c r="D532"/>
      <c r="E532"/>
    </row>
    <row r="533" spans="1:5" x14ac:dyDescent="0.25">
      <c r="A533"/>
      <c r="B533"/>
      <c r="C533"/>
      <c r="D533"/>
      <c r="E533"/>
    </row>
    <row r="534" spans="1:5" x14ac:dyDescent="0.25">
      <c r="A534"/>
      <c r="B534"/>
      <c r="C534"/>
      <c r="D534"/>
      <c r="E534"/>
    </row>
    <row r="535" spans="1:5" x14ac:dyDescent="0.25">
      <c r="A535"/>
      <c r="B535"/>
      <c r="C535"/>
      <c r="D535"/>
      <c r="E535"/>
    </row>
    <row r="536" spans="1:5" x14ac:dyDescent="0.25">
      <c r="A536"/>
      <c r="B536"/>
      <c r="C536"/>
      <c r="D536"/>
      <c r="E536"/>
    </row>
    <row r="537" spans="1:5" x14ac:dyDescent="0.25">
      <c r="A537"/>
      <c r="B537"/>
      <c r="C537"/>
      <c r="D537"/>
      <c r="E537"/>
    </row>
    <row r="538" spans="1:5" x14ac:dyDescent="0.25">
      <c r="A538"/>
      <c r="B538"/>
      <c r="C538"/>
      <c r="D538"/>
      <c r="E538"/>
    </row>
    <row r="539" spans="1:5" x14ac:dyDescent="0.25">
      <c r="A539"/>
      <c r="B539"/>
      <c r="C539"/>
      <c r="D539"/>
      <c r="E539"/>
    </row>
    <row r="540" spans="1:5" x14ac:dyDescent="0.25">
      <c r="A540"/>
      <c r="B540"/>
      <c r="C540"/>
      <c r="D540"/>
      <c r="E540"/>
    </row>
    <row r="541" spans="1:5" x14ac:dyDescent="0.25">
      <c r="A541"/>
      <c r="B541"/>
      <c r="C541"/>
      <c r="D541"/>
      <c r="E541"/>
    </row>
    <row r="542" spans="1:5" x14ac:dyDescent="0.25">
      <c r="A542"/>
      <c r="B542"/>
      <c r="C542"/>
      <c r="D542"/>
      <c r="E542"/>
    </row>
    <row r="543" spans="1:5" x14ac:dyDescent="0.25">
      <c r="A543"/>
      <c r="B543"/>
      <c r="C543"/>
      <c r="D543"/>
      <c r="E543"/>
    </row>
    <row r="544" spans="1:5" x14ac:dyDescent="0.25">
      <c r="A544"/>
      <c r="B544"/>
      <c r="C544"/>
      <c r="D544"/>
      <c r="E544"/>
    </row>
    <row r="545" spans="1:5" x14ac:dyDescent="0.25">
      <c r="A545"/>
      <c r="B545"/>
      <c r="C545"/>
      <c r="D545"/>
      <c r="E545"/>
    </row>
    <row r="546" spans="1:5" x14ac:dyDescent="0.25">
      <c r="A546"/>
      <c r="B546"/>
      <c r="C546"/>
      <c r="D546"/>
      <c r="E546"/>
    </row>
    <row r="547" spans="1:5" x14ac:dyDescent="0.25">
      <c r="A547"/>
      <c r="B547"/>
      <c r="C547"/>
      <c r="D547"/>
      <c r="E547"/>
    </row>
    <row r="548" spans="1:5" x14ac:dyDescent="0.25">
      <c r="A548"/>
      <c r="B548"/>
      <c r="C548"/>
      <c r="D548"/>
      <c r="E548"/>
    </row>
    <row r="549" spans="1:5" x14ac:dyDescent="0.25">
      <c r="A549"/>
      <c r="B549"/>
      <c r="C549"/>
      <c r="D549"/>
      <c r="E549"/>
    </row>
    <row r="550" spans="1:5" x14ac:dyDescent="0.25">
      <c r="A550"/>
      <c r="B550"/>
      <c r="C550"/>
      <c r="D550"/>
      <c r="E550"/>
    </row>
    <row r="551" spans="1:5" x14ac:dyDescent="0.25">
      <c r="A551"/>
      <c r="B551"/>
      <c r="C551"/>
      <c r="D551"/>
      <c r="E551"/>
    </row>
    <row r="552" spans="1:5" x14ac:dyDescent="0.25">
      <c r="A552"/>
      <c r="B552"/>
      <c r="C552"/>
      <c r="D552"/>
      <c r="E552"/>
    </row>
    <row r="553" spans="1:5" x14ac:dyDescent="0.25">
      <c r="A553"/>
      <c r="B553"/>
      <c r="C553"/>
      <c r="D553"/>
      <c r="E553"/>
    </row>
    <row r="554" spans="1:5" x14ac:dyDescent="0.25">
      <c r="A554"/>
      <c r="B554"/>
      <c r="C554"/>
      <c r="D554"/>
      <c r="E554"/>
    </row>
    <row r="555" spans="1:5" x14ac:dyDescent="0.25">
      <c r="A555"/>
      <c r="B555"/>
      <c r="C555"/>
      <c r="D555"/>
      <c r="E555"/>
    </row>
    <row r="556" spans="1:5" x14ac:dyDescent="0.25">
      <c r="A556"/>
      <c r="B556"/>
      <c r="C556"/>
      <c r="D556"/>
      <c r="E556"/>
    </row>
    <row r="557" spans="1:5" x14ac:dyDescent="0.25">
      <c r="A557"/>
      <c r="B557"/>
      <c r="C557"/>
      <c r="D557"/>
      <c r="E557"/>
    </row>
    <row r="558" spans="1:5" x14ac:dyDescent="0.25">
      <c r="A558"/>
      <c r="B558"/>
      <c r="C558"/>
      <c r="D558"/>
      <c r="E558"/>
    </row>
    <row r="559" spans="1:5" x14ac:dyDescent="0.25">
      <c r="A559"/>
      <c r="B559"/>
      <c r="C559"/>
      <c r="D559"/>
      <c r="E559"/>
    </row>
    <row r="560" spans="1:5" x14ac:dyDescent="0.25">
      <c r="A560"/>
      <c r="B560"/>
      <c r="C560"/>
      <c r="D560"/>
      <c r="E560"/>
    </row>
    <row r="561" spans="1:5" x14ac:dyDescent="0.25">
      <c r="A561"/>
      <c r="B561"/>
      <c r="C561"/>
      <c r="D561"/>
      <c r="E561"/>
    </row>
    <row r="562" spans="1:5" x14ac:dyDescent="0.25">
      <c r="A562"/>
      <c r="B562"/>
      <c r="C562"/>
      <c r="D562"/>
      <c r="E562"/>
    </row>
    <row r="563" spans="1:5" x14ac:dyDescent="0.25">
      <c r="A563"/>
      <c r="B563"/>
      <c r="C563"/>
      <c r="D563"/>
      <c r="E563"/>
    </row>
    <row r="564" spans="1:5" x14ac:dyDescent="0.25">
      <c r="A564"/>
      <c r="B564"/>
      <c r="C564"/>
      <c r="D564"/>
      <c r="E564"/>
    </row>
    <row r="565" spans="1:5" x14ac:dyDescent="0.25">
      <c r="A565"/>
      <c r="B565"/>
      <c r="C565"/>
      <c r="D565"/>
      <c r="E565"/>
    </row>
    <row r="566" spans="1:5" x14ac:dyDescent="0.25">
      <c r="A566"/>
      <c r="B566"/>
      <c r="C566"/>
      <c r="D566"/>
      <c r="E566"/>
    </row>
    <row r="567" spans="1:5" x14ac:dyDescent="0.25">
      <c r="A567"/>
      <c r="B567"/>
      <c r="C567"/>
      <c r="D567"/>
      <c r="E567"/>
    </row>
    <row r="568" spans="1:5" x14ac:dyDescent="0.25">
      <c r="A568"/>
      <c r="B568"/>
      <c r="C568"/>
      <c r="D568"/>
      <c r="E568"/>
    </row>
    <row r="569" spans="1:5" x14ac:dyDescent="0.25">
      <c r="A569"/>
      <c r="B569"/>
      <c r="C569"/>
      <c r="D569"/>
      <c r="E569"/>
    </row>
    <row r="570" spans="1:5" x14ac:dyDescent="0.25">
      <c r="A570"/>
      <c r="B570"/>
      <c r="C570"/>
      <c r="D570"/>
      <c r="E570"/>
    </row>
    <row r="571" spans="1:5" x14ac:dyDescent="0.25">
      <c r="A571"/>
      <c r="B571"/>
      <c r="C571"/>
      <c r="D571"/>
      <c r="E571"/>
    </row>
    <row r="572" spans="1:5" x14ac:dyDescent="0.25">
      <c r="A572"/>
      <c r="B572"/>
      <c r="C572"/>
      <c r="D572"/>
      <c r="E572"/>
    </row>
    <row r="573" spans="1:5" x14ac:dyDescent="0.25">
      <c r="A573"/>
      <c r="B573"/>
      <c r="C573"/>
      <c r="D573"/>
      <c r="E573"/>
    </row>
    <row r="574" spans="1:5" x14ac:dyDescent="0.25">
      <c r="A574"/>
      <c r="B574"/>
      <c r="C574"/>
      <c r="D574"/>
      <c r="E574"/>
    </row>
    <row r="575" spans="1:5" x14ac:dyDescent="0.25">
      <c r="A575"/>
      <c r="B575"/>
      <c r="C575"/>
      <c r="D575"/>
      <c r="E575"/>
    </row>
    <row r="576" spans="1:5" x14ac:dyDescent="0.25">
      <c r="A576"/>
      <c r="B576"/>
      <c r="C576"/>
      <c r="D576"/>
      <c r="E576"/>
    </row>
    <row r="577" spans="1:5" x14ac:dyDescent="0.25">
      <c r="A577"/>
      <c r="B577"/>
      <c r="C577"/>
      <c r="D577"/>
      <c r="E577"/>
    </row>
    <row r="578" spans="1:5" x14ac:dyDescent="0.25">
      <c r="A578"/>
      <c r="B578"/>
      <c r="C578"/>
      <c r="D578"/>
      <c r="E578"/>
    </row>
    <row r="579" spans="1:5" x14ac:dyDescent="0.25">
      <c r="A579"/>
      <c r="B579"/>
      <c r="C579"/>
      <c r="D579"/>
      <c r="E579"/>
    </row>
    <row r="580" spans="1:5" x14ac:dyDescent="0.25">
      <c r="A580"/>
      <c r="B580"/>
      <c r="C580"/>
      <c r="D580"/>
      <c r="E580"/>
    </row>
    <row r="581" spans="1:5" x14ac:dyDescent="0.25">
      <c r="A581"/>
      <c r="B581"/>
      <c r="C581"/>
      <c r="D581"/>
      <c r="E581"/>
    </row>
    <row r="582" spans="1:5" x14ac:dyDescent="0.25">
      <c r="A582"/>
      <c r="B582"/>
      <c r="C582"/>
      <c r="D582"/>
      <c r="E582"/>
    </row>
    <row r="583" spans="1:5" x14ac:dyDescent="0.25">
      <c r="A583"/>
      <c r="B583"/>
      <c r="C583"/>
      <c r="D583"/>
      <c r="E583"/>
    </row>
    <row r="584" spans="1:5" x14ac:dyDescent="0.25">
      <c r="A584"/>
      <c r="B584"/>
      <c r="C584"/>
      <c r="D584"/>
      <c r="E584"/>
    </row>
    <row r="585" spans="1:5" x14ac:dyDescent="0.25">
      <c r="A585"/>
      <c r="B585"/>
      <c r="C585"/>
      <c r="D585"/>
      <c r="E585"/>
    </row>
    <row r="586" spans="1:5" x14ac:dyDescent="0.25">
      <c r="A586"/>
      <c r="B586"/>
      <c r="C586"/>
      <c r="D586"/>
      <c r="E586"/>
    </row>
    <row r="587" spans="1:5" x14ac:dyDescent="0.25">
      <c r="A587"/>
      <c r="B587"/>
      <c r="C587"/>
      <c r="D587"/>
      <c r="E587"/>
    </row>
    <row r="588" spans="1:5" x14ac:dyDescent="0.25">
      <c r="A588"/>
      <c r="B588"/>
      <c r="C588"/>
      <c r="D588"/>
      <c r="E588"/>
    </row>
    <row r="589" spans="1:5" x14ac:dyDescent="0.25">
      <c r="A589"/>
      <c r="B589"/>
      <c r="C589"/>
      <c r="D589"/>
      <c r="E589"/>
    </row>
    <row r="590" spans="1:5" x14ac:dyDescent="0.25">
      <c r="A590"/>
      <c r="B590"/>
      <c r="C590"/>
      <c r="D590"/>
      <c r="E590"/>
    </row>
    <row r="591" spans="1:5" x14ac:dyDescent="0.25">
      <c r="A591"/>
      <c r="B591"/>
      <c r="C591"/>
      <c r="D591"/>
      <c r="E591"/>
    </row>
    <row r="592" spans="1:5" x14ac:dyDescent="0.25">
      <c r="A592"/>
      <c r="B592"/>
      <c r="C592"/>
      <c r="D592"/>
      <c r="E592"/>
    </row>
    <row r="593" spans="1:5" x14ac:dyDescent="0.25">
      <c r="A593"/>
      <c r="B593"/>
      <c r="C593"/>
      <c r="D593"/>
      <c r="E593"/>
    </row>
    <row r="594" spans="1:5" x14ac:dyDescent="0.25">
      <c r="A594"/>
      <c r="B594"/>
      <c r="C594"/>
      <c r="D594"/>
      <c r="E594"/>
    </row>
    <row r="595" spans="1:5" x14ac:dyDescent="0.25">
      <c r="A595"/>
      <c r="B595"/>
      <c r="C595"/>
      <c r="D595"/>
      <c r="E595"/>
    </row>
    <row r="596" spans="1:5" x14ac:dyDescent="0.25">
      <c r="A596"/>
      <c r="B596"/>
      <c r="C596"/>
      <c r="D596"/>
      <c r="E596"/>
    </row>
    <row r="597" spans="1:5" x14ac:dyDescent="0.25">
      <c r="A597"/>
      <c r="B597"/>
      <c r="C597"/>
      <c r="D597"/>
      <c r="E597"/>
    </row>
    <row r="598" spans="1:5" x14ac:dyDescent="0.25">
      <c r="A598"/>
      <c r="B598"/>
      <c r="C598"/>
      <c r="D598"/>
      <c r="E598"/>
    </row>
    <row r="599" spans="1:5" x14ac:dyDescent="0.25">
      <c r="A599"/>
      <c r="B599"/>
      <c r="C599"/>
      <c r="D599"/>
      <c r="E599"/>
    </row>
    <row r="600" spans="1:5" x14ac:dyDescent="0.25">
      <c r="A600"/>
      <c r="B600"/>
      <c r="C600"/>
      <c r="D600"/>
      <c r="E600"/>
    </row>
    <row r="601" spans="1:5" x14ac:dyDescent="0.25">
      <c r="A601"/>
      <c r="B601"/>
      <c r="C601"/>
      <c r="D601"/>
      <c r="E601"/>
    </row>
    <row r="602" spans="1:5" x14ac:dyDescent="0.25">
      <c r="A602"/>
      <c r="B602"/>
      <c r="C602"/>
      <c r="D602"/>
      <c r="E602"/>
    </row>
    <row r="603" spans="1:5" x14ac:dyDescent="0.25">
      <c r="A603"/>
      <c r="B603"/>
      <c r="C603"/>
      <c r="D603"/>
      <c r="E603"/>
    </row>
    <row r="604" spans="1:5" x14ac:dyDescent="0.25">
      <c r="A604"/>
      <c r="B604"/>
      <c r="C604"/>
      <c r="D604"/>
      <c r="E604"/>
    </row>
    <row r="605" spans="1:5" x14ac:dyDescent="0.25">
      <c r="A605"/>
      <c r="B605"/>
      <c r="C605"/>
      <c r="D605"/>
      <c r="E605"/>
    </row>
    <row r="606" spans="1:5" x14ac:dyDescent="0.25">
      <c r="A606"/>
      <c r="B606"/>
      <c r="C606"/>
      <c r="D606"/>
      <c r="E606"/>
    </row>
    <row r="607" spans="1:5" x14ac:dyDescent="0.25">
      <c r="A607"/>
      <c r="B607"/>
      <c r="C607"/>
      <c r="D607"/>
      <c r="E607"/>
    </row>
    <row r="608" spans="1:5" x14ac:dyDescent="0.25">
      <c r="A608"/>
      <c r="B608"/>
      <c r="C608"/>
      <c r="D608"/>
      <c r="E608"/>
    </row>
    <row r="609" spans="1:5" x14ac:dyDescent="0.25">
      <c r="A609"/>
      <c r="B609"/>
      <c r="C609"/>
      <c r="D609"/>
      <c r="E609"/>
    </row>
    <row r="610" spans="1:5" x14ac:dyDescent="0.25">
      <c r="A610"/>
      <c r="B610"/>
      <c r="C610"/>
      <c r="D610"/>
      <c r="E610"/>
    </row>
    <row r="611" spans="1:5" x14ac:dyDescent="0.25">
      <c r="A611"/>
      <c r="B611"/>
      <c r="C611"/>
      <c r="D611"/>
      <c r="E611"/>
    </row>
    <row r="612" spans="1:5" x14ac:dyDescent="0.25">
      <c r="A612"/>
      <c r="B612"/>
      <c r="C612"/>
      <c r="D612"/>
      <c r="E612"/>
    </row>
    <row r="613" spans="1:5" x14ac:dyDescent="0.25">
      <c r="A613"/>
      <c r="B613"/>
      <c r="C613"/>
      <c r="D613"/>
      <c r="E613"/>
    </row>
    <row r="614" spans="1:5" x14ac:dyDescent="0.25">
      <c r="A614"/>
      <c r="B614"/>
      <c r="C614"/>
      <c r="D614"/>
      <c r="E614"/>
    </row>
    <row r="615" spans="1:5" x14ac:dyDescent="0.25">
      <c r="A615"/>
      <c r="B615"/>
      <c r="C615"/>
      <c r="D615"/>
      <c r="E615"/>
    </row>
    <row r="616" spans="1:5" x14ac:dyDescent="0.25">
      <c r="A616"/>
      <c r="B616"/>
      <c r="C616"/>
      <c r="D616"/>
      <c r="E616"/>
    </row>
    <row r="617" spans="1:5" x14ac:dyDescent="0.25">
      <c r="A617"/>
      <c r="B617"/>
      <c r="C617"/>
      <c r="D617"/>
      <c r="E617"/>
    </row>
    <row r="618" spans="1:5" x14ac:dyDescent="0.25">
      <c r="A618"/>
      <c r="B618"/>
      <c r="C618"/>
      <c r="D618"/>
      <c r="E618"/>
    </row>
    <row r="619" spans="1:5" x14ac:dyDescent="0.25">
      <c r="A619"/>
      <c r="B619"/>
      <c r="C619"/>
      <c r="D619"/>
      <c r="E619"/>
    </row>
    <row r="620" spans="1:5" x14ac:dyDescent="0.25">
      <c r="A620"/>
      <c r="B620"/>
      <c r="C620"/>
      <c r="D620"/>
      <c r="E620"/>
    </row>
    <row r="621" spans="1:5" x14ac:dyDescent="0.25">
      <c r="A621"/>
      <c r="B621"/>
      <c r="C621"/>
      <c r="D621"/>
      <c r="E621"/>
    </row>
    <row r="622" spans="1:5" x14ac:dyDescent="0.25">
      <c r="A622"/>
      <c r="B622"/>
      <c r="C622"/>
      <c r="D622"/>
      <c r="E622"/>
    </row>
    <row r="623" spans="1:5" x14ac:dyDescent="0.25">
      <c r="A623"/>
      <c r="B623"/>
      <c r="C623"/>
      <c r="D623"/>
      <c r="E623"/>
    </row>
    <row r="624" spans="1:5" x14ac:dyDescent="0.25">
      <c r="A624"/>
      <c r="B624"/>
      <c r="C624"/>
      <c r="D624"/>
      <c r="E624"/>
    </row>
    <row r="625" spans="1:5" x14ac:dyDescent="0.25">
      <c r="A625"/>
      <c r="B625"/>
      <c r="C625"/>
      <c r="D625"/>
      <c r="E625"/>
    </row>
    <row r="626" spans="1:5" x14ac:dyDescent="0.25">
      <c r="A626"/>
      <c r="B626"/>
      <c r="C626"/>
      <c r="D626"/>
      <c r="E626"/>
    </row>
    <row r="627" spans="1:5" x14ac:dyDescent="0.25">
      <c r="A627"/>
      <c r="B627"/>
      <c r="C627"/>
      <c r="D627"/>
      <c r="E627"/>
    </row>
    <row r="628" spans="1:5" x14ac:dyDescent="0.25">
      <c r="A628"/>
      <c r="B628"/>
      <c r="C628"/>
      <c r="D628"/>
      <c r="E628"/>
    </row>
    <row r="629" spans="1:5" x14ac:dyDescent="0.25">
      <c r="A629"/>
      <c r="B629"/>
      <c r="C629"/>
      <c r="D629"/>
      <c r="E629"/>
    </row>
    <row r="630" spans="1:5" x14ac:dyDescent="0.25">
      <c r="A630"/>
      <c r="B630"/>
      <c r="C630"/>
      <c r="D630"/>
      <c r="E630"/>
    </row>
    <row r="631" spans="1:5" x14ac:dyDescent="0.25">
      <c r="A631"/>
      <c r="B631"/>
      <c r="C631"/>
      <c r="D631"/>
      <c r="E631"/>
    </row>
    <row r="632" spans="1:5" x14ac:dyDescent="0.25">
      <c r="A632"/>
      <c r="B632"/>
      <c r="C632"/>
      <c r="D632"/>
      <c r="E632"/>
    </row>
    <row r="633" spans="1:5" x14ac:dyDescent="0.25">
      <c r="A633"/>
      <c r="B633"/>
      <c r="C633"/>
      <c r="D633"/>
      <c r="E633"/>
    </row>
    <row r="634" spans="1:5" x14ac:dyDescent="0.25">
      <c r="A634"/>
      <c r="B634"/>
      <c r="C634"/>
      <c r="D634"/>
      <c r="E634"/>
    </row>
    <row r="635" spans="1:5" x14ac:dyDescent="0.25">
      <c r="A635"/>
      <c r="B635"/>
      <c r="C635"/>
      <c r="D635"/>
      <c r="E635"/>
    </row>
    <row r="636" spans="1:5" x14ac:dyDescent="0.25">
      <c r="A636"/>
      <c r="B636"/>
      <c r="C636"/>
      <c r="D636"/>
      <c r="E636"/>
    </row>
    <row r="637" spans="1:5" x14ac:dyDescent="0.25">
      <c r="A637"/>
      <c r="B637"/>
      <c r="C637"/>
      <c r="D637"/>
      <c r="E637"/>
    </row>
    <row r="638" spans="1:5" x14ac:dyDescent="0.25">
      <c r="A638"/>
      <c r="B638"/>
      <c r="C638"/>
      <c r="D638"/>
      <c r="E638"/>
    </row>
    <row r="639" spans="1:5" x14ac:dyDescent="0.25">
      <c r="A639"/>
      <c r="B639"/>
      <c r="C639"/>
      <c r="D639"/>
      <c r="E639"/>
    </row>
    <row r="640" spans="1:5" x14ac:dyDescent="0.25">
      <c r="A640"/>
      <c r="B640"/>
      <c r="C640"/>
      <c r="D640"/>
      <c r="E640"/>
    </row>
    <row r="641" spans="1:5" x14ac:dyDescent="0.25">
      <c r="A641"/>
      <c r="B641"/>
      <c r="C641"/>
      <c r="D641"/>
      <c r="E641"/>
    </row>
    <row r="642" spans="1:5" x14ac:dyDescent="0.25">
      <c r="A642"/>
      <c r="B642"/>
      <c r="C642"/>
      <c r="D642"/>
      <c r="E642"/>
    </row>
    <row r="643" spans="1:5" x14ac:dyDescent="0.25">
      <c r="A643"/>
      <c r="B643"/>
      <c r="C643"/>
      <c r="D643"/>
      <c r="E643"/>
    </row>
    <row r="644" spans="1:5" x14ac:dyDescent="0.25">
      <c r="A644"/>
      <c r="B644"/>
      <c r="C644"/>
      <c r="D644"/>
      <c r="E644"/>
    </row>
    <row r="645" spans="1:5" x14ac:dyDescent="0.25">
      <c r="A645"/>
      <c r="B645"/>
      <c r="C645"/>
      <c r="D645"/>
      <c r="E645"/>
    </row>
    <row r="646" spans="1:5" x14ac:dyDescent="0.25">
      <c r="A646"/>
      <c r="B646"/>
      <c r="C646"/>
      <c r="D646"/>
      <c r="E646"/>
    </row>
    <row r="647" spans="1:5" x14ac:dyDescent="0.25">
      <c r="A647"/>
      <c r="B647"/>
      <c r="C647"/>
      <c r="D647"/>
      <c r="E647"/>
    </row>
    <row r="648" spans="1:5" x14ac:dyDescent="0.25">
      <c r="A648"/>
      <c r="B648"/>
      <c r="C648"/>
      <c r="D648"/>
      <c r="E648"/>
    </row>
    <row r="649" spans="1:5" x14ac:dyDescent="0.25">
      <c r="A649"/>
      <c r="B649"/>
      <c r="C649"/>
      <c r="D649"/>
      <c r="E649"/>
    </row>
    <row r="650" spans="1:5" x14ac:dyDescent="0.25">
      <c r="A650"/>
      <c r="B650"/>
      <c r="C650"/>
      <c r="D650"/>
      <c r="E650"/>
    </row>
    <row r="651" spans="1:5" x14ac:dyDescent="0.25">
      <c r="A651"/>
      <c r="B651"/>
      <c r="C651"/>
      <c r="D651"/>
      <c r="E651"/>
    </row>
    <row r="652" spans="1:5" x14ac:dyDescent="0.25">
      <c r="A652"/>
      <c r="B652"/>
      <c r="C652"/>
      <c r="D652"/>
      <c r="E652"/>
    </row>
    <row r="653" spans="1:5" x14ac:dyDescent="0.25">
      <c r="A653"/>
      <c r="B653"/>
      <c r="C653"/>
      <c r="D653"/>
      <c r="E653"/>
    </row>
    <row r="654" spans="1:5" x14ac:dyDescent="0.25">
      <c r="A654"/>
      <c r="B654"/>
      <c r="C654"/>
      <c r="D654"/>
      <c r="E654"/>
    </row>
    <row r="655" spans="1:5" x14ac:dyDescent="0.25">
      <c r="A655"/>
      <c r="B655"/>
      <c r="C655"/>
      <c r="D655"/>
      <c r="E655"/>
    </row>
    <row r="656" spans="1:5" x14ac:dyDescent="0.25">
      <c r="A656"/>
      <c r="B656"/>
      <c r="C656"/>
      <c r="D656"/>
      <c r="E656"/>
    </row>
    <row r="657" spans="1:5" x14ac:dyDescent="0.25">
      <c r="A657"/>
      <c r="B657"/>
      <c r="C657"/>
      <c r="D657"/>
      <c r="E657"/>
    </row>
    <row r="658" spans="1:5" x14ac:dyDescent="0.25">
      <c r="A658"/>
      <c r="B658"/>
      <c r="C658"/>
      <c r="D658"/>
      <c r="E658"/>
    </row>
    <row r="659" spans="1:5" x14ac:dyDescent="0.25">
      <c r="A659"/>
      <c r="B659"/>
      <c r="C659"/>
      <c r="D659"/>
      <c r="E659"/>
    </row>
    <row r="660" spans="1:5" x14ac:dyDescent="0.25">
      <c r="A660"/>
      <c r="B660"/>
      <c r="C660"/>
      <c r="D660"/>
      <c r="E660"/>
    </row>
    <row r="661" spans="1:5" x14ac:dyDescent="0.25">
      <c r="A661"/>
      <c r="B661"/>
      <c r="C661"/>
      <c r="D661"/>
      <c r="E661"/>
    </row>
    <row r="662" spans="1:5" x14ac:dyDescent="0.25">
      <c r="A662"/>
      <c r="B662"/>
      <c r="C662"/>
      <c r="D662"/>
      <c r="E662"/>
    </row>
    <row r="663" spans="1:5" x14ac:dyDescent="0.25">
      <c r="A663"/>
      <c r="B663"/>
      <c r="C663"/>
      <c r="D663"/>
      <c r="E663"/>
    </row>
    <row r="664" spans="1:5" x14ac:dyDescent="0.25">
      <c r="A664"/>
      <c r="B664"/>
      <c r="C664"/>
      <c r="D664"/>
      <c r="E664"/>
    </row>
    <row r="665" spans="1:5" x14ac:dyDescent="0.25">
      <c r="A665"/>
      <c r="B665"/>
      <c r="C665"/>
      <c r="D665"/>
      <c r="E665"/>
    </row>
    <row r="666" spans="1:5" x14ac:dyDescent="0.25">
      <c r="A666"/>
      <c r="B666"/>
      <c r="C666"/>
      <c r="D666"/>
      <c r="E666"/>
    </row>
    <row r="667" spans="1:5" x14ac:dyDescent="0.25">
      <c r="A667"/>
      <c r="B667"/>
      <c r="C667"/>
      <c r="D667"/>
      <c r="E667"/>
    </row>
    <row r="668" spans="1:5" x14ac:dyDescent="0.25">
      <c r="A668"/>
      <c r="B668"/>
      <c r="C668"/>
      <c r="D668"/>
      <c r="E668"/>
    </row>
    <row r="669" spans="1:5" x14ac:dyDescent="0.25">
      <c r="A669"/>
      <c r="B669"/>
      <c r="C669"/>
      <c r="D669"/>
      <c r="E669"/>
    </row>
    <row r="670" spans="1:5" x14ac:dyDescent="0.25">
      <c r="A670"/>
      <c r="B670"/>
      <c r="C670"/>
      <c r="D670"/>
      <c r="E670"/>
    </row>
    <row r="671" spans="1:5" x14ac:dyDescent="0.25">
      <c r="A671"/>
      <c r="B671"/>
      <c r="C671"/>
      <c r="D671"/>
      <c r="E671"/>
    </row>
    <row r="672" spans="1:5" x14ac:dyDescent="0.25">
      <c r="A672"/>
      <c r="B672"/>
      <c r="C672"/>
      <c r="D672"/>
      <c r="E672"/>
    </row>
    <row r="673" spans="1:5" x14ac:dyDescent="0.25">
      <c r="A673"/>
      <c r="B673"/>
      <c r="C673"/>
      <c r="D673"/>
      <c r="E673"/>
    </row>
    <row r="674" spans="1:5" x14ac:dyDescent="0.25">
      <c r="A674"/>
      <c r="B674"/>
      <c r="C674"/>
      <c r="D674"/>
      <c r="E674"/>
    </row>
    <row r="675" spans="1:5" x14ac:dyDescent="0.25">
      <c r="A675"/>
      <c r="B675"/>
      <c r="C675"/>
      <c r="D675"/>
      <c r="E675"/>
    </row>
    <row r="676" spans="1:5" x14ac:dyDescent="0.25">
      <c r="A676"/>
      <c r="B676"/>
      <c r="C676"/>
      <c r="D676"/>
      <c r="E676"/>
    </row>
    <row r="677" spans="1:5" x14ac:dyDescent="0.25">
      <c r="A677"/>
      <c r="B677"/>
      <c r="C677"/>
      <c r="D677"/>
      <c r="E677"/>
    </row>
    <row r="678" spans="1:5" x14ac:dyDescent="0.25">
      <c r="A678"/>
      <c r="B678"/>
      <c r="C678"/>
      <c r="D678"/>
      <c r="E678"/>
    </row>
    <row r="679" spans="1:5" x14ac:dyDescent="0.25">
      <c r="A679"/>
      <c r="B679"/>
      <c r="C679"/>
      <c r="D679"/>
      <c r="E679"/>
    </row>
    <row r="680" spans="1:5" x14ac:dyDescent="0.25">
      <c r="A680"/>
      <c r="B680"/>
      <c r="C680"/>
      <c r="D680"/>
      <c r="E680"/>
    </row>
    <row r="681" spans="1:5" x14ac:dyDescent="0.25">
      <c r="A681"/>
      <c r="B681"/>
      <c r="C681"/>
      <c r="D681"/>
      <c r="E681"/>
    </row>
    <row r="682" spans="1:5" x14ac:dyDescent="0.25">
      <c r="A682"/>
      <c r="B682"/>
      <c r="C682"/>
      <c r="D682"/>
      <c r="E682"/>
    </row>
    <row r="683" spans="1:5" x14ac:dyDescent="0.25">
      <c r="A683"/>
      <c r="B683"/>
      <c r="C683"/>
      <c r="D683"/>
      <c r="E683"/>
    </row>
    <row r="684" spans="1:5" x14ac:dyDescent="0.25">
      <c r="A684"/>
      <c r="B684"/>
      <c r="C684"/>
      <c r="D684"/>
      <c r="E684"/>
    </row>
    <row r="685" spans="1:5" x14ac:dyDescent="0.25">
      <c r="A685"/>
      <c r="B685"/>
      <c r="C685"/>
      <c r="D685"/>
      <c r="E685"/>
    </row>
    <row r="686" spans="1:5" x14ac:dyDescent="0.25">
      <c r="A686"/>
      <c r="B686"/>
      <c r="C686"/>
      <c r="D686"/>
      <c r="E686"/>
    </row>
    <row r="687" spans="1:5" x14ac:dyDescent="0.25">
      <c r="A687"/>
      <c r="B687"/>
      <c r="C687"/>
      <c r="D687"/>
      <c r="E687"/>
    </row>
    <row r="688" spans="1:5" x14ac:dyDescent="0.25">
      <c r="A688"/>
      <c r="B688"/>
      <c r="C688"/>
      <c r="D688"/>
      <c r="E688"/>
    </row>
    <row r="689" spans="1:5" x14ac:dyDescent="0.25">
      <c r="A689"/>
      <c r="B689"/>
      <c r="C689"/>
      <c r="D689"/>
      <c r="E689"/>
    </row>
    <row r="690" spans="1:5" x14ac:dyDescent="0.25">
      <c r="A690"/>
      <c r="B690"/>
      <c r="C690"/>
      <c r="D690"/>
      <c r="E690"/>
    </row>
    <row r="691" spans="1:5" x14ac:dyDescent="0.25">
      <c r="A691"/>
      <c r="B691"/>
      <c r="C691"/>
      <c r="D691"/>
      <c r="E691"/>
    </row>
    <row r="692" spans="1:5" x14ac:dyDescent="0.25">
      <c r="A692"/>
      <c r="B692"/>
      <c r="C692"/>
      <c r="D692"/>
      <c r="E692"/>
    </row>
    <row r="693" spans="1:5" x14ac:dyDescent="0.25">
      <c r="A693"/>
      <c r="B693"/>
      <c r="C693"/>
      <c r="D693"/>
      <c r="E693"/>
    </row>
    <row r="694" spans="1:5" x14ac:dyDescent="0.25">
      <c r="A694"/>
      <c r="B694"/>
      <c r="C694"/>
      <c r="D694"/>
      <c r="E694"/>
    </row>
    <row r="695" spans="1:5" x14ac:dyDescent="0.25">
      <c r="A695"/>
      <c r="B695"/>
      <c r="C695"/>
      <c r="D695"/>
      <c r="E695"/>
    </row>
    <row r="696" spans="1:5" x14ac:dyDescent="0.25">
      <c r="A696"/>
      <c r="B696"/>
      <c r="C696"/>
      <c r="D696"/>
      <c r="E696"/>
    </row>
    <row r="697" spans="1:5" x14ac:dyDescent="0.25">
      <c r="A697"/>
      <c r="B697"/>
      <c r="C697"/>
      <c r="D697"/>
      <c r="E697"/>
    </row>
    <row r="698" spans="1:5" x14ac:dyDescent="0.25">
      <c r="A698"/>
      <c r="B698"/>
      <c r="C698"/>
      <c r="D698"/>
      <c r="E698"/>
    </row>
    <row r="699" spans="1:5" x14ac:dyDescent="0.25">
      <c r="A699"/>
      <c r="B699"/>
      <c r="C699"/>
      <c r="D699"/>
      <c r="E699"/>
    </row>
    <row r="700" spans="1:5" x14ac:dyDescent="0.25">
      <c r="A700"/>
      <c r="B700"/>
      <c r="C700"/>
      <c r="D700"/>
      <c r="E700"/>
    </row>
    <row r="701" spans="1:5" x14ac:dyDescent="0.25">
      <c r="A701"/>
      <c r="B701"/>
      <c r="C701"/>
      <c r="D701"/>
      <c r="E701"/>
    </row>
    <row r="702" spans="1:5" x14ac:dyDescent="0.25">
      <c r="A702"/>
      <c r="B702"/>
      <c r="C702"/>
      <c r="D702"/>
      <c r="E702"/>
    </row>
    <row r="703" spans="1:5" x14ac:dyDescent="0.25">
      <c r="A703"/>
      <c r="B703"/>
      <c r="C703"/>
      <c r="D703"/>
      <c r="E703"/>
    </row>
    <row r="704" spans="1:5" x14ac:dyDescent="0.25">
      <c r="A704"/>
      <c r="B704"/>
      <c r="C704"/>
      <c r="D704"/>
      <c r="E704"/>
    </row>
    <row r="705" spans="1:5" x14ac:dyDescent="0.25">
      <c r="A705"/>
      <c r="B705"/>
      <c r="C705"/>
      <c r="D705"/>
      <c r="E705"/>
    </row>
    <row r="706" spans="1:5" x14ac:dyDescent="0.25">
      <c r="A706"/>
      <c r="B706"/>
      <c r="C706"/>
      <c r="D706"/>
      <c r="E706"/>
    </row>
    <row r="707" spans="1:5" x14ac:dyDescent="0.25">
      <c r="A707"/>
      <c r="B707"/>
      <c r="C707"/>
      <c r="D707"/>
      <c r="E707"/>
    </row>
    <row r="708" spans="1:5" x14ac:dyDescent="0.25">
      <c r="A708"/>
      <c r="B708"/>
      <c r="C708"/>
      <c r="D708"/>
      <c r="E708"/>
    </row>
    <row r="709" spans="1:5" x14ac:dyDescent="0.25">
      <c r="A709"/>
      <c r="B709"/>
      <c r="C709"/>
      <c r="D709"/>
      <c r="E709"/>
    </row>
    <row r="710" spans="1:5" x14ac:dyDescent="0.25">
      <c r="A710"/>
      <c r="B710"/>
      <c r="C710"/>
      <c r="D710"/>
      <c r="E710"/>
    </row>
    <row r="711" spans="1:5" x14ac:dyDescent="0.25">
      <c r="A711"/>
      <c r="B711"/>
      <c r="C711"/>
      <c r="D711"/>
      <c r="E711"/>
    </row>
    <row r="712" spans="1:5" x14ac:dyDescent="0.25">
      <c r="A712"/>
      <c r="B712"/>
      <c r="C712"/>
      <c r="D712"/>
      <c r="E712"/>
    </row>
    <row r="713" spans="1:5" x14ac:dyDescent="0.25">
      <c r="A713"/>
      <c r="B713"/>
      <c r="C713"/>
      <c r="D713"/>
      <c r="E713"/>
    </row>
  </sheetData>
  <autoFilter ref="A1:S284" xr:uid="{F4288C3F-5688-4BCC-BCD9-8201F9D73A98}"/>
  <conditionalFormatting sqref="D3:D284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26E9C-2108-49E3-99F5-AD431771AE59}">
  <dimension ref="A3:F10"/>
  <sheetViews>
    <sheetView workbookViewId="0">
      <selection activeCell="A3" sqref="A3:F10"/>
    </sheetView>
  </sheetViews>
  <sheetFormatPr defaultRowHeight="13.85" x14ac:dyDescent="0.25"/>
  <cols>
    <col min="1" max="1" width="17" customWidth="1"/>
  </cols>
  <sheetData>
    <row r="3" spans="1:6" x14ac:dyDescent="0.25">
      <c r="A3" s="14" t="s">
        <v>1108</v>
      </c>
      <c r="B3" s="15" t="s">
        <v>11</v>
      </c>
      <c r="C3" s="15"/>
      <c r="D3" s="15"/>
      <c r="E3" s="15"/>
      <c r="F3" s="15"/>
    </row>
    <row r="4" spans="1:6" x14ac:dyDescent="0.25">
      <c r="A4" s="14"/>
      <c r="B4" s="10" t="s">
        <v>1115</v>
      </c>
      <c r="C4" s="10" t="s">
        <v>1116</v>
      </c>
      <c r="D4" s="10" t="s">
        <v>1117</v>
      </c>
      <c r="E4" s="11" t="s">
        <v>1118</v>
      </c>
      <c r="F4" s="10" t="s">
        <v>1114</v>
      </c>
    </row>
    <row r="5" spans="1:6" x14ac:dyDescent="0.25">
      <c r="A5" s="8" t="s">
        <v>1109</v>
      </c>
      <c r="B5" s="8">
        <v>1</v>
      </c>
      <c r="C5" s="8">
        <v>14</v>
      </c>
      <c r="D5" s="8">
        <v>7</v>
      </c>
      <c r="E5" s="9">
        <v>14</v>
      </c>
      <c r="F5" s="8">
        <v>36</v>
      </c>
    </row>
    <row r="6" spans="1:6" x14ac:dyDescent="0.25">
      <c r="A6" s="8" t="s">
        <v>1110</v>
      </c>
      <c r="B6" s="8">
        <v>1</v>
      </c>
      <c r="C6" s="8">
        <v>6</v>
      </c>
      <c r="D6" s="8">
        <v>4</v>
      </c>
      <c r="E6" s="9">
        <v>12</v>
      </c>
      <c r="F6" s="8">
        <v>23</v>
      </c>
    </row>
    <row r="7" spans="1:6" x14ac:dyDescent="0.25">
      <c r="A7" s="8" t="s">
        <v>1111</v>
      </c>
      <c r="B7" s="8"/>
      <c r="C7" s="8">
        <v>3</v>
      </c>
      <c r="D7" s="8">
        <v>3</v>
      </c>
      <c r="E7" s="9">
        <v>7</v>
      </c>
      <c r="F7" s="8">
        <v>13</v>
      </c>
    </row>
    <row r="8" spans="1:6" x14ac:dyDescent="0.25">
      <c r="A8" s="8" t="s">
        <v>1112</v>
      </c>
      <c r="B8" s="8"/>
      <c r="C8" s="8">
        <v>34</v>
      </c>
      <c r="D8" s="8">
        <v>12</v>
      </c>
      <c r="E8" s="9">
        <v>27</v>
      </c>
      <c r="F8" s="8">
        <v>73</v>
      </c>
    </row>
    <row r="9" spans="1:6" x14ac:dyDescent="0.25">
      <c r="A9" s="12" t="s">
        <v>1113</v>
      </c>
      <c r="B9" s="12">
        <v>9</v>
      </c>
      <c r="C9" s="12">
        <v>26</v>
      </c>
      <c r="D9" s="12">
        <v>47</v>
      </c>
      <c r="E9" s="13">
        <v>44</v>
      </c>
      <c r="F9" s="12">
        <v>126</v>
      </c>
    </row>
    <row r="10" spans="1:6" x14ac:dyDescent="0.25">
      <c r="A10" s="8" t="s">
        <v>1114</v>
      </c>
      <c r="B10" s="8">
        <v>11</v>
      </c>
      <c r="C10" s="8">
        <v>83</v>
      </c>
      <c r="D10" s="8">
        <v>73</v>
      </c>
      <c r="E10" s="9">
        <v>104</v>
      </c>
      <c r="F10" s="8">
        <v>271</v>
      </c>
    </row>
  </sheetData>
  <mergeCells count="2">
    <mergeCell ref="A3:A4"/>
    <mergeCell ref="B3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AB107-A397-4F58-85E4-A5FC5B74CD49}">
  <dimension ref="A1:L93"/>
  <sheetViews>
    <sheetView topLeftCell="B1" workbookViewId="0">
      <selection activeCell="E21" sqref="E21"/>
    </sheetView>
  </sheetViews>
  <sheetFormatPr defaultRowHeight="13.85" x14ac:dyDescent="0.25"/>
  <cols>
    <col min="2" max="2" width="24.90625" customWidth="1"/>
    <col min="3" max="3" width="19.26953125" customWidth="1"/>
    <col min="4" max="4" width="15.36328125" customWidth="1"/>
    <col min="5" max="5" width="47" customWidth="1"/>
  </cols>
  <sheetData>
    <row r="1" spans="1:12" x14ac:dyDescent="0.25">
      <c r="A1" t="s">
        <v>0</v>
      </c>
      <c r="B1" t="s">
        <v>1162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</v>
      </c>
      <c r="B2" s="2" t="s">
        <v>67</v>
      </c>
      <c r="C2" s="2" t="s">
        <v>68</v>
      </c>
      <c r="D2" s="2" t="s">
        <v>69</v>
      </c>
      <c r="E2" s="2" t="s">
        <v>70</v>
      </c>
      <c r="F2" s="2" t="s">
        <v>1138</v>
      </c>
      <c r="G2" s="2" t="s">
        <v>1138</v>
      </c>
      <c r="H2" s="2" t="s">
        <v>1138</v>
      </c>
      <c r="I2" s="2" t="s">
        <v>1138</v>
      </c>
      <c r="J2" s="2" t="s">
        <v>45</v>
      </c>
      <c r="K2" s="2" t="s">
        <v>27</v>
      </c>
      <c r="L2" s="2" t="s">
        <v>20</v>
      </c>
    </row>
    <row r="3" spans="1:12" x14ac:dyDescent="0.25">
      <c r="A3">
        <v>2</v>
      </c>
      <c r="B3" s="2" t="s">
        <v>77</v>
      </c>
      <c r="C3" s="2" t="s">
        <v>78</v>
      </c>
      <c r="D3" s="2" t="s">
        <v>79</v>
      </c>
      <c r="E3" s="2" t="s">
        <v>80</v>
      </c>
      <c r="F3" s="2" t="s">
        <v>1138</v>
      </c>
      <c r="G3" s="2" t="s">
        <v>1138</v>
      </c>
      <c r="H3" s="2" t="s">
        <v>1138</v>
      </c>
      <c r="I3" s="2" t="s">
        <v>1138</v>
      </c>
      <c r="J3" s="2" t="s">
        <v>45</v>
      </c>
      <c r="K3" s="2" t="s">
        <v>125</v>
      </c>
      <c r="L3" s="2" t="s">
        <v>19</v>
      </c>
    </row>
    <row r="4" spans="1:12" x14ac:dyDescent="0.25">
      <c r="A4">
        <v>3</v>
      </c>
      <c r="B4" s="2" t="s">
        <v>92</v>
      </c>
      <c r="C4" s="2" t="s">
        <v>93</v>
      </c>
      <c r="D4" s="2" t="s">
        <v>94</v>
      </c>
      <c r="E4" s="2" t="s">
        <v>95</v>
      </c>
      <c r="F4" s="2" t="s">
        <v>1138</v>
      </c>
      <c r="G4" s="2" t="s">
        <v>1138</v>
      </c>
      <c r="H4" s="2" t="s">
        <v>1138</v>
      </c>
      <c r="I4" s="2" t="s">
        <v>1138</v>
      </c>
      <c r="J4" s="2" t="s">
        <v>45</v>
      </c>
      <c r="K4" s="2" t="s">
        <v>27</v>
      </c>
      <c r="L4" s="2" t="s">
        <v>20</v>
      </c>
    </row>
    <row r="5" spans="1:12" x14ac:dyDescent="0.25">
      <c r="A5">
        <v>4</v>
      </c>
      <c r="B5" s="2" t="s">
        <v>96</v>
      </c>
      <c r="C5" s="2" t="s">
        <v>97</v>
      </c>
      <c r="D5" s="2" t="s">
        <v>98</v>
      </c>
      <c r="E5" s="2" t="s">
        <v>99</v>
      </c>
      <c r="F5" s="2" t="s">
        <v>1138</v>
      </c>
      <c r="G5" s="2" t="s">
        <v>1138</v>
      </c>
      <c r="H5" s="2" t="s">
        <v>1138</v>
      </c>
      <c r="I5" s="2" t="s">
        <v>1138</v>
      </c>
      <c r="J5" s="2" t="s">
        <v>45</v>
      </c>
      <c r="K5" s="2" t="s">
        <v>27</v>
      </c>
      <c r="L5" s="2" t="s">
        <v>20</v>
      </c>
    </row>
    <row r="6" spans="1:12" x14ac:dyDescent="0.25">
      <c r="A6">
        <v>5</v>
      </c>
      <c r="B6" s="2" t="s">
        <v>104</v>
      </c>
      <c r="C6" s="2" t="s">
        <v>105</v>
      </c>
      <c r="D6" s="2" t="s">
        <v>106</v>
      </c>
      <c r="E6" s="2" t="s">
        <v>107</v>
      </c>
      <c r="F6" s="2" t="s">
        <v>1138</v>
      </c>
      <c r="G6" s="2" t="s">
        <v>1138</v>
      </c>
      <c r="H6" s="2" t="s">
        <v>1138</v>
      </c>
      <c r="I6" s="2" t="s">
        <v>1138</v>
      </c>
      <c r="J6" s="2" t="s">
        <v>45</v>
      </c>
      <c r="K6" s="2" t="s">
        <v>76</v>
      </c>
      <c r="L6" s="2" t="s">
        <v>18</v>
      </c>
    </row>
    <row r="7" spans="1:12" x14ac:dyDescent="0.25">
      <c r="A7">
        <v>6</v>
      </c>
      <c r="B7" s="2" t="s">
        <v>117</v>
      </c>
      <c r="C7" s="2" t="s">
        <v>118</v>
      </c>
      <c r="D7" s="2" t="s">
        <v>119</v>
      </c>
      <c r="E7" s="2" t="s">
        <v>120</v>
      </c>
      <c r="F7" s="2" t="s">
        <v>1138</v>
      </c>
      <c r="G7" s="2" t="s">
        <v>1138</v>
      </c>
      <c r="H7" s="2" t="s">
        <v>1138</v>
      </c>
      <c r="I7" s="2" t="s">
        <v>1138</v>
      </c>
      <c r="J7" s="2" t="s">
        <v>45</v>
      </c>
      <c r="K7" s="2" t="s">
        <v>76</v>
      </c>
      <c r="L7" s="2" t="s">
        <v>18</v>
      </c>
    </row>
    <row r="8" spans="1:12" x14ac:dyDescent="0.25">
      <c r="A8">
        <v>7</v>
      </c>
      <c r="B8" s="2" t="s">
        <v>126</v>
      </c>
      <c r="C8" s="2" t="s">
        <v>127</v>
      </c>
      <c r="D8" s="2" t="s">
        <v>128</v>
      </c>
      <c r="E8" s="2" t="s">
        <v>129</v>
      </c>
      <c r="F8" s="2" t="s">
        <v>1138</v>
      </c>
      <c r="G8" s="2" t="s">
        <v>1138</v>
      </c>
      <c r="H8" s="2" t="s">
        <v>1138</v>
      </c>
      <c r="I8" s="2" t="s">
        <v>1138</v>
      </c>
      <c r="J8" s="2" t="s">
        <v>45</v>
      </c>
      <c r="K8" s="2" t="s">
        <v>27</v>
      </c>
      <c r="L8" s="2" t="s">
        <v>20</v>
      </c>
    </row>
    <row r="9" spans="1:12" x14ac:dyDescent="0.25">
      <c r="A9">
        <v>8</v>
      </c>
      <c r="B9" s="2" t="s">
        <v>130</v>
      </c>
      <c r="C9" s="2" t="s">
        <v>131</v>
      </c>
      <c r="D9" s="2" t="s">
        <v>132</v>
      </c>
      <c r="E9" s="2" t="s">
        <v>133</v>
      </c>
      <c r="F9" s="2" t="s">
        <v>1138</v>
      </c>
      <c r="G9" s="2" t="s">
        <v>1138</v>
      </c>
      <c r="H9" s="2" t="s">
        <v>1138</v>
      </c>
      <c r="I9" s="2" t="s">
        <v>1138</v>
      </c>
      <c r="J9" s="2" t="s">
        <v>45</v>
      </c>
      <c r="K9" s="2" t="s">
        <v>27</v>
      </c>
      <c r="L9" s="2" t="s">
        <v>20</v>
      </c>
    </row>
    <row r="10" spans="1:12" x14ac:dyDescent="0.25">
      <c r="A10">
        <v>9</v>
      </c>
      <c r="B10" s="2" t="s">
        <v>142</v>
      </c>
      <c r="C10" s="2" t="s">
        <v>143</v>
      </c>
      <c r="D10" s="2" t="s">
        <v>144</v>
      </c>
      <c r="E10" s="2" t="s">
        <v>145</v>
      </c>
      <c r="F10" s="2" t="s">
        <v>1138</v>
      </c>
      <c r="G10" s="2" t="s">
        <v>1138</v>
      </c>
      <c r="H10" s="2" t="s">
        <v>1138</v>
      </c>
      <c r="I10" s="2" t="s">
        <v>1138</v>
      </c>
      <c r="J10" s="2" t="s">
        <v>45</v>
      </c>
      <c r="K10" s="2" t="s">
        <v>125</v>
      </c>
      <c r="L10" s="2" t="s">
        <v>19</v>
      </c>
    </row>
    <row r="11" spans="1:12" x14ac:dyDescent="0.25">
      <c r="A11">
        <v>10</v>
      </c>
      <c r="B11" s="2" t="s">
        <v>155</v>
      </c>
      <c r="C11" s="2" t="s">
        <v>156</v>
      </c>
      <c r="D11" s="2" t="s">
        <v>157</v>
      </c>
      <c r="E11" s="2" t="s">
        <v>158</v>
      </c>
      <c r="F11" s="2" t="s">
        <v>1138</v>
      </c>
      <c r="G11" s="2" t="s">
        <v>1138</v>
      </c>
      <c r="H11" s="2" t="s">
        <v>1138</v>
      </c>
      <c r="I11" s="2" t="s">
        <v>1138</v>
      </c>
      <c r="J11" s="2" t="s">
        <v>45</v>
      </c>
      <c r="K11" s="2" t="s">
        <v>27</v>
      </c>
      <c r="L11" s="2" t="s">
        <v>20</v>
      </c>
    </row>
    <row r="12" spans="1:12" x14ac:dyDescent="0.25">
      <c r="A12">
        <v>11</v>
      </c>
      <c r="B12" s="2" t="s">
        <v>163</v>
      </c>
      <c r="C12" s="2" t="s">
        <v>164</v>
      </c>
      <c r="D12" s="2" t="s">
        <v>165</v>
      </c>
      <c r="E12" s="2" t="s">
        <v>166</v>
      </c>
      <c r="F12" s="2" t="s">
        <v>1138</v>
      </c>
      <c r="G12" s="2" t="s">
        <v>1138</v>
      </c>
      <c r="H12" s="2" t="s">
        <v>1138</v>
      </c>
      <c r="I12" s="2" t="s">
        <v>1138</v>
      </c>
      <c r="J12" s="2" t="s">
        <v>45</v>
      </c>
      <c r="K12" s="2" t="s">
        <v>125</v>
      </c>
      <c r="L12" s="2" t="s">
        <v>19</v>
      </c>
    </row>
    <row r="13" spans="1:12" x14ac:dyDescent="0.25">
      <c r="A13">
        <v>12</v>
      </c>
      <c r="B13" s="2" t="s">
        <v>167</v>
      </c>
      <c r="C13" s="2" t="s">
        <v>168</v>
      </c>
      <c r="D13" s="2" t="s">
        <v>169</v>
      </c>
      <c r="E13" s="2" t="s">
        <v>170</v>
      </c>
      <c r="F13" s="2" t="s">
        <v>1138</v>
      </c>
      <c r="G13" s="2" t="s">
        <v>1138</v>
      </c>
      <c r="H13" s="2" t="s">
        <v>1138</v>
      </c>
      <c r="I13" s="2" t="s">
        <v>1138</v>
      </c>
      <c r="J13" s="2" t="s">
        <v>45</v>
      </c>
      <c r="K13" s="2" t="s">
        <v>27</v>
      </c>
      <c r="L13" s="2" t="s">
        <v>20</v>
      </c>
    </row>
    <row r="14" spans="1:12" x14ac:dyDescent="0.25">
      <c r="A14">
        <v>13</v>
      </c>
      <c r="B14" s="2" t="s">
        <v>176</v>
      </c>
      <c r="C14" s="2" t="s">
        <v>177</v>
      </c>
      <c r="D14" s="2" t="s">
        <v>178</v>
      </c>
      <c r="E14" s="2" t="s">
        <v>179</v>
      </c>
      <c r="F14" s="2" t="s">
        <v>1138</v>
      </c>
      <c r="G14" s="2" t="s">
        <v>1138</v>
      </c>
      <c r="H14" s="2" t="s">
        <v>1138</v>
      </c>
      <c r="I14" s="2" t="s">
        <v>1138</v>
      </c>
      <c r="J14" s="2" t="s">
        <v>45</v>
      </c>
      <c r="K14" s="2" t="s">
        <v>27</v>
      </c>
      <c r="L14" s="2" t="s">
        <v>20</v>
      </c>
    </row>
    <row r="15" spans="1:12" x14ac:dyDescent="0.25">
      <c r="A15">
        <v>14</v>
      </c>
      <c r="B15" s="2" t="s">
        <v>184</v>
      </c>
      <c r="C15" s="2" t="s">
        <v>185</v>
      </c>
      <c r="D15" s="2" t="s">
        <v>186</v>
      </c>
      <c r="E15" s="2" t="s">
        <v>187</v>
      </c>
      <c r="F15" s="2" t="s">
        <v>1138</v>
      </c>
      <c r="G15" s="2" t="s">
        <v>1138</v>
      </c>
      <c r="H15" s="2" t="s">
        <v>1138</v>
      </c>
      <c r="I15" s="2" t="s">
        <v>1138</v>
      </c>
      <c r="J15" s="2" t="s">
        <v>45</v>
      </c>
      <c r="K15" s="2" t="s">
        <v>125</v>
      </c>
      <c r="L15" s="2" t="s">
        <v>19</v>
      </c>
    </row>
    <row r="16" spans="1:12" x14ac:dyDescent="0.25">
      <c r="A16">
        <v>15</v>
      </c>
      <c r="B16" s="2" t="s">
        <v>192</v>
      </c>
      <c r="C16" s="2" t="s">
        <v>193</v>
      </c>
      <c r="D16" s="2" t="s">
        <v>194</v>
      </c>
      <c r="E16" s="2" t="s">
        <v>195</v>
      </c>
      <c r="F16" s="2" t="s">
        <v>1138</v>
      </c>
      <c r="G16" s="2" t="s">
        <v>1138</v>
      </c>
      <c r="H16" s="2" t="s">
        <v>1138</v>
      </c>
      <c r="I16" s="2" t="s">
        <v>1138</v>
      </c>
      <c r="J16" s="2" t="s">
        <v>45</v>
      </c>
      <c r="K16" s="2" t="s">
        <v>86</v>
      </c>
      <c r="L16" s="2" t="s">
        <v>18</v>
      </c>
    </row>
    <row r="17" spans="1:12" x14ac:dyDescent="0.25">
      <c r="A17">
        <v>16</v>
      </c>
      <c r="B17" s="2" t="s">
        <v>197</v>
      </c>
      <c r="C17" s="2" t="s">
        <v>198</v>
      </c>
      <c r="D17" s="2" t="s">
        <v>199</v>
      </c>
      <c r="E17" s="2" t="s">
        <v>200</v>
      </c>
      <c r="F17" s="2" t="s">
        <v>1138</v>
      </c>
      <c r="G17" s="2" t="s">
        <v>1138</v>
      </c>
      <c r="H17" s="2" t="s">
        <v>1138</v>
      </c>
      <c r="I17" s="2" t="s">
        <v>1138</v>
      </c>
      <c r="J17" s="2" t="s">
        <v>45</v>
      </c>
      <c r="K17" s="2" t="s">
        <v>27</v>
      </c>
      <c r="L17" s="2" t="s">
        <v>20</v>
      </c>
    </row>
    <row r="18" spans="1:12" x14ac:dyDescent="0.25">
      <c r="A18">
        <v>17</v>
      </c>
      <c r="B18" s="2" t="s">
        <v>217</v>
      </c>
      <c r="C18" s="2" t="s">
        <v>218</v>
      </c>
      <c r="D18" s="2" t="s">
        <v>219</v>
      </c>
      <c r="E18" s="2" t="s">
        <v>220</v>
      </c>
      <c r="F18" s="2" t="s">
        <v>1138</v>
      </c>
      <c r="G18" s="2" t="s">
        <v>1138</v>
      </c>
      <c r="H18" s="2" t="s">
        <v>1138</v>
      </c>
      <c r="I18" s="2" t="s">
        <v>1138</v>
      </c>
      <c r="J18" s="2" t="s">
        <v>45</v>
      </c>
      <c r="K18" s="2" t="s">
        <v>27</v>
      </c>
      <c r="L18" s="2" t="s">
        <v>20</v>
      </c>
    </row>
    <row r="19" spans="1:12" x14ac:dyDescent="0.25">
      <c r="A19">
        <v>18</v>
      </c>
      <c r="B19" s="2" t="s">
        <v>222</v>
      </c>
      <c r="C19" s="2" t="s">
        <v>223</v>
      </c>
      <c r="D19" s="2" t="s">
        <v>224</v>
      </c>
      <c r="E19" s="2" t="s">
        <v>225</v>
      </c>
      <c r="F19" s="2" t="s">
        <v>1138</v>
      </c>
      <c r="G19" s="2" t="s">
        <v>1138</v>
      </c>
      <c r="H19" s="2" t="s">
        <v>1138</v>
      </c>
      <c r="I19" s="2" t="s">
        <v>1138</v>
      </c>
      <c r="J19" s="2" t="s">
        <v>45</v>
      </c>
      <c r="K19" s="2" t="s">
        <v>81</v>
      </c>
      <c r="L19" s="2" t="s">
        <v>18</v>
      </c>
    </row>
    <row r="20" spans="1:12" x14ac:dyDescent="0.25">
      <c r="A20">
        <v>19</v>
      </c>
      <c r="B20" s="2" t="s">
        <v>226</v>
      </c>
      <c r="C20" s="2" t="s">
        <v>227</v>
      </c>
      <c r="D20" s="2" t="s">
        <v>228</v>
      </c>
      <c r="E20" s="2" t="s">
        <v>229</v>
      </c>
      <c r="F20" s="2" t="s">
        <v>1138</v>
      </c>
      <c r="G20" s="2" t="s">
        <v>1138</v>
      </c>
      <c r="H20" s="2" t="s">
        <v>1138</v>
      </c>
      <c r="I20" s="2" t="s">
        <v>1138</v>
      </c>
      <c r="J20" s="2" t="s">
        <v>45</v>
      </c>
      <c r="K20" s="2" t="s">
        <v>27</v>
      </c>
      <c r="L20" s="2" t="s">
        <v>20</v>
      </c>
    </row>
    <row r="21" spans="1:12" x14ac:dyDescent="0.25">
      <c r="A21">
        <v>20</v>
      </c>
      <c r="B21" s="2" t="s">
        <v>230</v>
      </c>
      <c r="C21" s="2" t="s">
        <v>231</v>
      </c>
      <c r="D21" s="2" t="s">
        <v>232</v>
      </c>
      <c r="E21" s="2" t="s">
        <v>233</v>
      </c>
      <c r="F21" s="2" t="s">
        <v>1138</v>
      </c>
      <c r="G21" s="2" t="s">
        <v>1138</v>
      </c>
      <c r="H21" s="2" t="s">
        <v>1138</v>
      </c>
      <c r="I21" s="2" t="s">
        <v>1138</v>
      </c>
      <c r="J21" s="2" t="s">
        <v>45</v>
      </c>
      <c r="K21" s="2" t="s">
        <v>125</v>
      </c>
      <c r="L21" s="2" t="s">
        <v>19</v>
      </c>
    </row>
    <row r="22" spans="1:12" x14ac:dyDescent="0.25">
      <c r="A22">
        <v>21</v>
      </c>
      <c r="B22" s="2" t="s">
        <v>238</v>
      </c>
      <c r="C22" s="2" t="s">
        <v>239</v>
      </c>
      <c r="D22" s="2" t="s">
        <v>240</v>
      </c>
      <c r="E22" s="2" t="s">
        <v>241</v>
      </c>
      <c r="F22" s="2" t="s">
        <v>1138</v>
      </c>
      <c r="G22" s="2" t="s">
        <v>1138</v>
      </c>
      <c r="H22" s="2" t="s">
        <v>1138</v>
      </c>
      <c r="I22" s="2" t="s">
        <v>1138</v>
      </c>
      <c r="J22" s="2" t="s">
        <v>45</v>
      </c>
      <c r="K22" s="2" t="s">
        <v>125</v>
      </c>
      <c r="L22" s="2" t="s">
        <v>19</v>
      </c>
    </row>
    <row r="23" spans="1:12" x14ac:dyDescent="0.25">
      <c r="A23">
        <v>22</v>
      </c>
      <c r="B23" s="2" t="s">
        <v>254</v>
      </c>
      <c r="C23" s="2" t="s">
        <v>255</v>
      </c>
      <c r="D23" s="2" t="s">
        <v>256</v>
      </c>
      <c r="E23" s="2" t="s">
        <v>257</v>
      </c>
      <c r="F23" s="2" t="s">
        <v>1138</v>
      </c>
      <c r="G23" s="2" t="s">
        <v>1138</v>
      </c>
      <c r="H23" s="2" t="s">
        <v>1138</v>
      </c>
      <c r="I23" s="2" t="s">
        <v>1138</v>
      </c>
      <c r="J23" s="2" t="s">
        <v>45</v>
      </c>
      <c r="K23" s="2" t="s">
        <v>91</v>
      </c>
      <c r="L23" s="2" t="s">
        <v>18</v>
      </c>
    </row>
    <row r="24" spans="1:12" x14ac:dyDescent="0.25">
      <c r="A24">
        <v>23</v>
      </c>
      <c r="B24" s="2" t="s">
        <v>274</v>
      </c>
      <c r="C24" s="2" t="s">
        <v>275</v>
      </c>
      <c r="D24" s="2" t="s">
        <v>276</v>
      </c>
      <c r="E24" s="2" t="s">
        <v>277</v>
      </c>
      <c r="F24" s="2" t="s">
        <v>1138</v>
      </c>
      <c r="G24" s="2" t="s">
        <v>1138</v>
      </c>
      <c r="H24" s="2" t="s">
        <v>1138</v>
      </c>
      <c r="I24" s="2" t="s">
        <v>1138</v>
      </c>
      <c r="J24" s="2" t="s">
        <v>45</v>
      </c>
      <c r="K24" s="2" t="s">
        <v>27</v>
      </c>
      <c r="L24" s="2" t="s">
        <v>20</v>
      </c>
    </row>
    <row r="25" spans="1:12" x14ac:dyDescent="0.25">
      <c r="A25">
        <v>24</v>
      </c>
      <c r="B25" s="2" t="s">
        <v>286</v>
      </c>
      <c r="C25" s="2" t="s">
        <v>287</v>
      </c>
      <c r="D25" s="2" t="s">
        <v>288</v>
      </c>
      <c r="E25" s="2" t="s">
        <v>289</v>
      </c>
      <c r="F25" s="2" t="s">
        <v>1138</v>
      </c>
      <c r="G25" s="2" t="s">
        <v>1138</v>
      </c>
      <c r="H25" s="2" t="s">
        <v>1138</v>
      </c>
      <c r="I25" s="2" t="s">
        <v>1138</v>
      </c>
      <c r="J25" s="2" t="s">
        <v>45</v>
      </c>
      <c r="K25" s="2" t="s">
        <v>27</v>
      </c>
      <c r="L25" s="2" t="s">
        <v>20</v>
      </c>
    </row>
    <row r="26" spans="1:12" x14ac:dyDescent="0.25">
      <c r="A26">
        <v>25</v>
      </c>
      <c r="B26" s="2" t="s">
        <v>294</v>
      </c>
      <c r="C26" s="2" t="s">
        <v>295</v>
      </c>
      <c r="D26" s="2" t="s">
        <v>296</v>
      </c>
      <c r="E26" s="2" t="s">
        <v>297</v>
      </c>
      <c r="F26" s="2" t="s">
        <v>1138</v>
      </c>
      <c r="G26" s="2" t="s">
        <v>1138</v>
      </c>
      <c r="H26" s="2" t="s">
        <v>1138</v>
      </c>
      <c r="I26" s="2" t="s">
        <v>1138</v>
      </c>
      <c r="J26" s="2" t="s">
        <v>45</v>
      </c>
      <c r="K26" s="2" t="s">
        <v>125</v>
      </c>
      <c r="L26" s="2" t="s">
        <v>19</v>
      </c>
    </row>
    <row r="27" spans="1:12" x14ac:dyDescent="0.25">
      <c r="A27">
        <v>26</v>
      </c>
      <c r="B27" s="2" t="s">
        <v>302</v>
      </c>
      <c r="C27" s="2" t="s">
        <v>303</v>
      </c>
      <c r="D27" s="2" t="s">
        <v>304</v>
      </c>
      <c r="E27" s="2" t="s">
        <v>305</v>
      </c>
      <c r="F27" s="2" t="s">
        <v>1138</v>
      </c>
      <c r="G27" s="2" t="s">
        <v>1138</v>
      </c>
      <c r="H27" s="2" t="s">
        <v>1138</v>
      </c>
      <c r="I27" s="2" t="s">
        <v>1138</v>
      </c>
      <c r="J27" s="2" t="s">
        <v>45</v>
      </c>
      <c r="K27" s="2" t="s">
        <v>27</v>
      </c>
      <c r="L27" s="2" t="s">
        <v>20</v>
      </c>
    </row>
    <row r="28" spans="1:12" x14ac:dyDescent="0.25">
      <c r="A28">
        <v>27</v>
      </c>
      <c r="B28" s="2" t="s">
        <v>306</v>
      </c>
      <c r="C28" s="2" t="s">
        <v>307</v>
      </c>
      <c r="D28" s="2" t="s">
        <v>308</v>
      </c>
      <c r="E28" s="2" t="s">
        <v>309</v>
      </c>
      <c r="F28" s="2" t="s">
        <v>1138</v>
      </c>
      <c r="G28" s="2" t="s">
        <v>1138</v>
      </c>
      <c r="H28" s="2" t="s">
        <v>1138</v>
      </c>
      <c r="I28" s="2" t="s">
        <v>1138</v>
      </c>
      <c r="J28" s="2" t="s">
        <v>45</v>
      </c>
      <c r="K28" s="2" t="s">
        <v>125</v>
      </c>
      <c r="L28" s="2" t="s">
        <v>19</v>
      </c>
    </row>
    <row r="29" spans="1:12" x14ac:dyDescent="0.25">
      <c r="A29">
        <v>28</v>
      </c>
      <c r="B29" s="2" t="s">
        <v>310</v>
      </c>
      <c r="C29" s="2" t="s">
        <v>311</v>
      </c>
      <c r="D29" s="2" t="s">
        <v>312</v>
      </c>
      <c r="E29" s="2" t="s">
        <v>313</v>
      </c>
      <c r="F29" s="2" t="s">
        <v>1138</v>
      </c>
      <c r="G29" s="2" t="s">
        <v>1138</v>
      </c>
      <c r="H29" s="2" t="s">
        <v>1138</v>
      </c>
      <c r="I29" s="2" t="s">
        <v>1138</v>
      </c>
      <c r="J29" s="2" t="s">
        <v>45</v>
      </c>
      <c r="K29" s="2" t="s">
        <v>76</v>
      </c>
      <c r="L29" s="2" t="s">
        <v>18</v>
      </c>
    </row>
    <row r="30" spans="1:12" x14ac:dyDescent="0.25">
      <c r="A30">
        <v>29</v>
      </c>
      <c r="B30" s="2" t="s">
        <v>314</v>
      </c>
      <c r="C30" s="2" t="s">
        <v>315</v>
      </c>
      <c r="D30" s="2" t="s">
        <v>316</v>
      </c>
      <c r="E30" s="2" t="s">
        <v>317</v>
      </c>
      <c r="F30" s="2" t="s">
        <v>1138</v>
      </c>
      <c r="G30" s="2" t="s">
        <v>1138</v>
      </c>
      <c r="H30" s="2" t="s">
        <v>1138</v>
      </c>
      <c r="I30" s="2" t="s">
        <v>1138</v>
      </c>
      <c r="J30" s="2" t="s">
        <v>45</v>
      </c>
      <c r="K30" s="2" t="s">
        <v>27</v>
      </c>
      <c r="L30" s="2" t="s">
        <v>20</v>
      </c>
    </row>
    <row r="31" spans="1:12" x14ac:dyDescent="0.25">
      <c r="A31">
        <v>30</v>
      </c>
      <c r="B31" s="2" t="s">
        <v>318</v>
      </c>
      <c r="C31" s="2" t="s">
        <v>319</v>
      </c>
      <c r="D31" s="2" t="s">
        <v>320</v>
      </c>
      <c r="E31" s="2" t="s">
        <v>321</v>
      </c>
      <c r="F31" s="2" t="s">
        <v>1138</v>
      </c>
      <c r="G31" s="2" t="s">
        <v>1138</v>
      </c>
      <c r="H31" s="2" t="s">
        <v>1138</v>
      </c>
      <c r="I31" s="2" t="s">
        <v>1138</v>
      </c>
      <c r="J31" s="2" t="s">
        <v>45</v>
      </c>
      <c r="K31" s="2" t="s">
        <v>27</v>
      </c>
      <c r="L31" s="2" t="s">
        <v>20</v>
      </c>
    </row>
    <row r="32" spans="1:12" x14ac:dyDescent="0.25">
      <c r="A32">
        <v>31</v>
      </c>
      <c r="B32" s="2" t="s">
        <v>322</v>
      </c>
      <c r="C32" s="2" t="s">
        <v>323</v>
      </c>
      <c r="D32" s="2" t="s">
        <v>324</v>
      </c>
      <c r="E32" s="2" t="s">
        <v>325</v>
      </c>
      <c r="F32" s="2" t="s">
        <v>1138</v>
      </c>
      <c r="G32" s="2" t="s">
        <v>1138</v>
      </c>
      <c r="H32" s="2" t="s">
        <v>1138</v>
      </c>
      <c r="I32" s="2" t="s">
        <v>1138</v>
      </c>
      <c r="J32" s="2" t="s">
        <v>45</v>
      </c>
      <c r="K32" s="2" t="s">
        <v>86</v>
      </c>
      <c r="L32" s="2" t="s">
        <v>18</v>
      </c>
    </row>
    <row r="33" spans="1:12" x14ac:dyDescent="0.25">
      <c r="A33">
        <v>32</v>
      </c>
      <c r="B33" s="2" t="s">
        <v>338</v>
      </c>
      <c r="C33" s="2" t="s">
        <v>339</v>
      </c>
      <c r="D33" s="2" t="s">
        <v>340</v>
      </c>
      <c r="E33" s="2" t="s">
        <v>341</v>
      </c>
      <c r="F33" s="2" t="s">
        <v>1138</v>
      </c>
      <c r="G33" s="2" t="s">
        <v>1138</v>
      </c>
      <c r="H33" s="2" t="s">
        <v>1138</v>
      </c>
      <c r="I33" s="2" t="s">
        <v>1138</v>
      </c>
      <c r="J33" s="2" t="s">
        <v>45</v>
      </c>
      <c r="K33" s="2" t="s">
        <v>91</v>
      </c>
      <c r="L33" s="2" t="s">
        <v>18</v>
      </c>
    </row>
    <row r="34" spans="1:12" x14ac:dyDescent="0.25">
      <c r="A34">
        <v>33</v>
      </c>
      <c r="B34" s="2" t="s">
        <v>346</v>
      </c>
      <c r="C34" s="2" t="s">
        <v>347</v>
      </c>
      <c r="D34" s="2" t="s">
        <v>348</v>
      </c>
      <c r="E34" s="2" t="s">
        <v>349</v>
      </c>
      <c r="F34" s="2" t="s">
        <v>1138</v>
      </c>
      <c r="G34" s="2" t="s">
        <v>1138</v>
      </c>
      <c r="H34" s="2" t="s">
        <v>1138</v>
      </c>
      <c r="I34" s="2" t="s">
        <v>1138</v>
      </c>
      <c r="J34" s="2" t="s">
        <v>45</v>
      </c>
      <c r="K34" s="2" t="s">
        <v>27</v>
      </c>
      <c r="L34" s="2" t="s">
        <v>20</v>
      </c>
    </row>
    <row r="35" spans="1:12" x14ac:dyDescent="0.25">
      <c r="A35">
        <v>34</v>
      </c>
      <c r="B35" s="2" t="s">
        <v>354</v>
      </c>
      <c r="C35" s="2" t="s">
        <v>355</v>
      </c>
      <c r="D35" s="2" t="s">
        <v>356</v>
      </c>
      <c r="E35" s="2" t="s">
        <v>357</v>
      </c>
      <c r="F35" s="2" t="s">
        <v>1138</v>
      </c>
      <c r="G35" s="2" t="s">
        <v>1138</v>
      </c>
      <c r="H35" s="2" t="s">
        <v>1138</v>
      </c>
      <c r="I35" s="2" t="s">
        <v>1138</v>
      </c>
      <c r="J35" s="2" t="s">
        <v>45</v>
      </c>
      <c r="K35" s="2" t="s">
        <v>27</v>
      </c>
      <c r="L35" s="2" t="s">
        <v>20</v>
      </c>
    </row>
    <row r="36" spans="1:12" x14ac:dyDescent="0.25">
      <c r="A36">
        <v>35</v>
      </c>
      <c r="B36" s="2" t="s">
        <v>362</v>
      </c>
      <c r="C36" s="2" t="s">
        <v>363</v>
      </c>
      <c r="D36" s="2" t="s">
        <v>364</v>
      </c>
      <c r="E36" s="2" t="s">
        <v>365</v>
      </c>
      <c r="F36" s="2" t="s">
        <v>1138</v>
      </c>
      <c r="G36" s="2" t="s">
        <v>1138</v>
      </c>
      <c r="H36" s="2" t="s">
        <v>1138</v>
      </c>
      <c r="I36" s="2" t="s">
        <v>1138</v>
      </c>
      <c r="J36" s="2" t="s">
        <v>45</v>
      </c>
      <c r="K36" s="2" t="s">
        <v>76</v>
      </c>
      <c r="L36" s="2" t="s">
        <v>18</v>
      </c>
    </row>
    <row r="37" spans="1:12" x14ac:dyDescent="0.25">
      <c r="A37">
        <v>36</v>
      </c>
      <c r="B37" s="2" t="s">
        <v>366</v>
      </c>
      <c r="C37" s="2" t="s">
        <v>367</v>
      </c>
      <c r="D37" s="2" t="s">
        <v>368</v>
      </c>
      <c r="E37" s="2" t="s">
        <v>369</v>
      </c>
      <c r="F37" s="2" t="s">
        <v>1138</v>
      </c>
      <c r="G37" s="2" t="s">
        <v>1138</v>
      </c>
      <c r="H37" s="2" t="s">
        <v>1138</v>
      </c>
      <c r="I37" s="2" t="s">
        <v>1138</v>
      </c>
      <c r="J37" s="2" t="s">
        <v>45</v>
      </c>
      <c r="K37" s="2" t="s">
        <v>27</v>
      </c>
      <c r="L37" s="2" t="s">
        <v>20</v>
      </c>
    </row>
    <row r="38" spans="1:12" x14ac:dyDescent="0.25">
      <c r="A38">
        <v>37</v>
      </c>
      <c r="B38" s="2" t="s">
        <v>370</v>
      </c>
      <c r="C38" s="2" t="s">
        <v>371</v>
      </c>
      <c r="D38" s="2" t="s">
        <v>372</v>
      </c>
      <c r="E38" s="2" t="s">
        <v>373</v>
      </c>
      <c r="F38" s="2" t="s">
        <v>1138</v>
      </c>
      <c r="G38" s="2" t="s">
        <v>1138</v>
      </c>
      <c r="H38" s="2" t="s">
        <v>1138</v>
      </c>
      <c r="I38" s="2" t="s">
        <v>1138</v>
      </c>
      <c r="J38" s="2" t="s">
        <v>45</v>
      </c>
      <c r="K38" s="2" t="s">
        <v>81</v>
      </c>
      <c r="L38" s="2" t="s">
        <v>18</v>
      </c>
    </row>
    <row r="39" spans="1:12" x14ac:dyDescent="0.25">
      <c r="A39">
        <v>38</v>
      </c>
      <c r="B39" s="2" t="s">
        <v>390</v>
      </c>
      <c r="C39" s="2" t="s">
        <v>391</v>
      </c>
      <c r="D39" s="2" t="s">
        <v>392</v>
      </c>
      <c r="E39" s="2" t="s">
        <v>393</v>
      </c>
      <c r="F39" s="2" t="s">
        <v>1138</v>
      </c>
      <c r="G39" s="2" t="s">
        <v>1138</v>
      </c>
      <c r="H39" s="2" t="s">
        <v>1138</v>
      </c>
      <c r="I39" s="2" t="s">
        <v>1138</v>
      </c>
      <c r="J39" s="2" t="s">
        <v>45</v>
      </c>
      <c r="K39" s="2" t="s">
        <v>27</v>
      </c>
      <c r="L39" s="2" t="s">
        <v>20</v>
      </c>
    </row>
    <row r="40" spans="1:12" x14ac:dyDescent="0.25">
      <c r="A40">
        <v>39</v>
      </c>
      <c r="B40" s="2" t="s">
        <v>394</v>
      </c>
      <c r="C40" s="2" t="s">
        <v>395</v>
      </c>
      <c r="D40" s="2" t="s">
        <v>396</v>
      </c>
      <c r="E40" s="2" t="s">
        <v>397</v>
      </c>
      <c r="F40" s="2" t="s">
        <v>1138</v>
      </c>
      <c r="G40" s="2" t="s">
        <v>1138</v>
      </c>
      <c r="H40" s="2" t="s">
        <v>1138</v>
      </c>
      <c r="I40" s="2" t="s">
        <v>1138</v>
      </c>
      <c r="J40" s="2" t="s">
        <v>45</v>
      </c>
      <c r="K40" s="2" t="s">
        <v>27</v>
      </c>
      <c r="L40" s="2" t="s">
        <v>20</v>
      </c>
    </row>
    <row r="41" spans="1:12" x14ac:dyDescent="0.25">
      <c r="A41">
        <v>40</v>
      </c>
      <c r="B41" s="2" t="s">
        <v>410</v>
      </c>
      <c r="C41" s="2" t="s">
        <v>411</v>
      </c>
      <c r="D41" s="2" t="s">
        <v>412</v>
      </c>
      <c r="E41" s="2" t="s">
        <v>413</v>
      </c>
      <c r="F41" s="2" t="s">
        <v>1138</v>
      </c>
      <c r="G41" s="2" t="s">
        <v>1138</v>
      </c>
      <c r="H41" s="2" t="s">
        <v>1138</v>
      </c>
      <c r="I41" s="2" t="s">
        <v>1138</v>
      </c>
      <c r="J41" s="2" t="s">
        <v>45</v>
      </c>
      <c r="K41" s="2" t="s">
        <v>86</v>
      </c>
      <c r="L41" s="2" t="s">
        <v>18</v>
      </c>
    </row>
    <row r="42" spans="1:12" x14ac:dyDescent="0.25">
      <c r="A42">
        <v>41</v>
      </c>
      <c r="B42" s="2" t="s">
        <v>422</v>
      </c>
      <c r="C42" s="2" t="s">
        <v>423</v>
      </c>
      <c r="D42" s="2" t="s">
        <v>424</v>
      </c>
      <c r="E42" s="2" t="s">
        <v>425</v>
      </c>
      <c r="F42" s="2" t="s">
        <v>1138</v>
      </c>
      <c r="G42" s="2" t="s">
        <v>1138</v>
      </c>
      <c r="H42" s="2" t="s">
        <v>1138</v>
      </c>
      <c r="I42" s="2" t="s">
        <v>1138</v>
      </c>
      <c r="J42" s="2" t="s">
        <v>45</v>
      </c>
      <c r="K42" s="2" t="s">
        <v>86</v>
      </c>
      <c r="L42" s="2" t="s">
        <v>18</v>
      </c>
    </row>
    <row r="43" spans="1:12" x14ac:dyDescent="0.25">
      <c r="A43">
        <v>42</v>
      </c>
      <c r="B43" s="2" t="s">
        <v>57</v>
      </c>
      <c r="C43" s="2" t="s">
        <v>426</v>
      </c>
      <c r="D43" s="2" t="s">
        <v>427</v>
      </c>
      <c r="E43" s="2" t="s">
        <v>428</v>
      </c>
      <c r="F43" s="2" t="s">
        <v>1138</v>
      </c>
      <c r="G43" s="2" t="s">
        <v>1138</v>
      </c>
      <c r="H43" s="2" t="s">
        <v>1138</v>
      </c>
      <c r="I43" s="2" t="s">
        <v>1138</v>
      </c>
      <c r="J43" s="2" t="s">
        <v>45</v>
      </c>
      <c r="K43" s="2" t="s">
        <v>27</v>
      </c>
      <c r="L43" s="2" t="s">
        <v>20</v>
      </c>
    </row>
    <row r="44" spans="1:12" x14ac:dyDescent="0.25">
      <c r="A44">
        <v>43</v>
      </c>
      <c r="B44" s="2" t="s">
        <v>433</v>
      </c>
      <c r="C44" s="2" t="s">
        <v>434</v>
      </c>
      <c r="D44" s="2" t="s">
        <v>435</v>
      </c>
      <c r="E44" s="2" t="s">
        <v>436</v>
      </c>
      <c r="F44" s="2" t="s">
        <v>1138</v>
      </c>
      <c r="G44" s="2" t="s">
        <v>1138</v>
      </c>
      <c r="H44" s="2" t="s">
        <v>1138</v>
      </c>
      <c r="I44" s="2" t="s">
        <v>1138</v>
      </c>
      <c r="J44" s="2" t="s">
        <v>45</v>
      </c>
      <c r="K44" s="2" t="s">
        <v>27</v>
      </c>
      <c r="L44" s="2" t="s">
        <v>20</v>
      </c>
    </row>
    <row r="45" spans="1:12" x14ac:dyDescent="0.25">
      <c r="A45">
        <v>44</v>
      </c>
      <c r="B45" s="2" t="s">
        <v>437</v>
      </c>
      <c r="C45" s="2" t="s">
        <v>438</v>
      </c>
      <c r="D45" s="2" t="s">
        <v>439</v>
      </c>
      <c r="E45" s="2" t="s">
        <v>440</v>
      </c>
      <c r="F45" s="2" t="s">
        <v>1138</v>
      </c>
      <c r="G45" s="2" t="s">
        <v>1138</v>
      </c>
      <c r="H45" s="2" t="s">
        <v>1138</v>
      </c>
      <c r="I45" s="2" t="s">
        <v>1138</v>
      </c>
      <c r="J45" s="2" t="s">
        <v>45</v>
      </c>
      <c r="K45" s="2" t="s">
        <v>76</v>
      </c>
      <c r="L45" s="2" t="s">
        <v>18</v>
      </c>
    </row>
    <row r="46" spans="1:12" x14ac:dyDescent="0.25">
      <c r="A46">
        <v>45</v>
      </c>
      <c r="B46" s="2" t="s">
        <v>445</v>
      </c>
      <c r="C46" s="2" t="s">
        <v>446</v>
      </c>
      <c r="D46" s="2" t="s">
        <v>447</v>
      </c>
      <c r="E46" s="2" t="s">
        <v>448</v>
      </c>
      <c r="F46" s="2" t="s">
        <v>1138</v>
      </c>
      <c r="G46" s="2" t="s">
        <v>1138</v>
      </c>
      <c r="H46" s="2" t="s">
        <v>1138</v>
      </c>
      <c r="I46" s="2" t="s">
        <v>1138</v>
      </c>
      <c r="J46" s="2" t="s">
        <v>45</v>
      </c>
      <c r="K46" s="2" t="s">
        <v>76</v>
      </c>
      <c r="L46" s="2" t="s">
        <v>18</v>
      </c>
    </row>
    <row r="47" spans="1:12" x14ac:dyDescent="0.25">
      <c r="A47">
        <v>46</v>
      </c>
      <c r="B47" s="2" t="s">
        <v>461</v>
      </c>
      <c r="C47" s="2" t="s">
        <v>462</v>
      </c>
      <c r="D47" s="2" t="s">
        <v>463</v>
      </c>
      <c r="E47" s="2" t="s">
        <v>464</v>
      </c>
      <c r="F47" s="2" t="s">
        <v>1138</v>
      </c>
      <c r="G47" s="2" t="s">
        <v>1138</v>
      </c>
      <c r="H47" s="2" t="s">
        <v>1138</v>
      </c>
      <c r="I47" s="2" t="s">
        <v>1138</v>
      </c>
      <c r="J47" s="2" t="s">
        <v>45</v>
      </c>
      <c r="K47" s="2" t="s">
        <v>86</v>
      </c>
      <c r="L47" s="2" t="s">
        <v>18</v>
      </c>
    </row>
    <row r="48" spans="1:12" x14ac:dyDescent="0.25">
      <c r="A48">
        <v>47</v>
      </c>
      <c r="B48" s="2" t="s">
        <v>469</v>
      </c>
      <c r="C48" s="2" t="s">
        <v>470</v>
      </c>
      <c r="D48" s="2" t="s">
        <v>471</v>
      </c>
      <c r="E48" s="2" t="s">
        <v>472</v>
      </c>
      <c r="F48" s="2" t="s">
        <v>1138</v>
      </c>
      <c r="G48" s="2" t="s">
        <v>1138</v>
      </c>
      <c r="H48" s="2" t="s">
        <v>1138</v>
      </c>
      <c r="I48" s="2" t="s">
        <v>1138</v>
      </c>
      <c r="J48" s="2" t="s">
        <v>45</v>
      </c>
      <c r="K48" s="2" t="s">
        <v>76</v>
      </c>
      <c r="L48" s="2" t="s">
        <v>18</v>
      </c>
    </row>
    <row r="49" spans="1:12" x14ac:dyDescent="0.25">
      <c r="A49">
        <v>48</v>
      </c>
      <c r="B49" s="2" t="s">
        <v>477</v>
      </c>
      <c r="C49" s="2" t="s">
        <v>478</v>
      </c>
      <c r="D49" s="2" t="s">
        <v>479</v>
      </c>
      <c r="E49" s="2" t="s">
        <v>480</v>
      </c>
      <c r="F49" s="2" t="s">
        <v>1138</v>
      </c>
      <c r="G49" s="2" t="s">
        <v>1138</v>
      </c>
      <c r="H49" s="2" t="s">
        <v>1138</v>
      </c>
      <c r="I49" s="2" t="s">
        <v>1138</v>
      </c>
      <c r="J49" s="2" t="s">
        <v>45</v>
      </c>
      <c r="K49" s="2" t="s">
        <v>76</v>
      </c>
      <c r="L49" s="2" t="s">
        <v>18</v>
      </c>
    </row>
    <row r="50" spans="1:12" x14ac:dyDescent="0.25">
      <c r="A50">
        <v>49</v>
      </c>
      <c r="B50" s="2" t="s">
        <v>489</v>
      </c>
      <c r="C50" s="2" t="s">
        <v>490</v>
      </c>
      <c r="D50" s="2" t="s">
        <v>491</v>
      </c>
      <c r="E50" s="2" t="s">
        <v>492</v>
      </c>
      <c r="F50" s="2" t="s">
        <v>1138</v>
      </c>
      <c r="G50" s="2" t="s">
        <v>1138</v>
      </c>
      <c r="H50" s="2" t="s">
        <v>1138</v>
      </c>
      <c r="I50" s="2" t="s">
        <v>1138</v>
      </c>
      <c r="J50" s="2" t="s">
        <v>45</v>
      </c>
      <c r="K50" s="2" t="s">
        <v>27</v>
      </c>
      <c r="L50" s="2" t="s">
        <v>20</v>
      </c>
    </row>
    <row r="51" spans="1:12" x14ac:dyDescent="0.25">
      <c r="A51">
        <v>50</v>
      </c>
      <c r="B51" s="2" t="s">
        <v>505</v>
      </c>
      <c r="C51" s="2" t="s">
        <v>506</v>
      </c>
      <c r="D51" s="2" t="s">
        <v>507</v>
      </c>
      <c r="E51" s="2" t="s">
        <v>508</v>
      </c>
      <c r="F51" s="2" t="s">
        <v>1138</v>
      </c>
      <c r="G51" s="2" t="s">
        <v>1138</v>
      </c>
      <c r="H51" s="2" t="s">
        <v>1138</v>
      </c>
      <c r="I51" s="2" t="s">
        <v>1138</v>
      </c>
      <c r="J51" s="2" t="s">
        <v>45</v>
      </c>
      <c r="K51" s="2" t="s">
        <v>27</v>
      </c>
      <c r="L51" s="2" t="s">
        <v>20</v>
      </c>
    </row>
    <row r="52" spans="1:12" x14ac:dyDescent="0.25">
      <c r="A52">
        <v>51</v>
      </c>
      <c r="B52" s="2" t="s">
        <v>513</v>
      </c>
      <c r="C52" s="2" t="s">
        <v>514</v>
      </c>
      <c r="D52" s="2" t="s">
        <v>515</v>
      </c>
      <c r="E52" s="2" t="s">
        <v>516</v>
      </c>
      <c r="F52" s="2" t="s">
        <v>1138</v>
      </c>
      <c r="G52" s="2" t="s">
        <v>1138</v>
      </c>
      <c r="H52" s="2" t="s">
        <v>1138</v>
      </c>
      <c r="I52" s="2" t="s">
        <v>1138</v>
      </c>
      <c r="J52" s="2" t="s">
        <v>45</v>
      </c>
      <c r="K52" s="2" t="s">
        <v>27</v>
      </c>
      <c r="L52" s="2" t="s">
        <v>20</v>
      </c>
    </row>
    <row r="53" spans="1:12" x14ac:dyDescent="0.25">
      <c r="A53">
        <v>52</v>
      </c>
      <c r="B53" s="2" t="s">
        <v>537</v>
      </c>
      <c r="C53" s="2" t="s">
        <v>538</v>
      </c>
      <c r="D53" s="2" t="s">
        <v>539</v>
      </c>
      <c r="E53" s="2" t="s">
        <v>540</v>
      </c>
      <c r="F53" s="2" t="s">
        <v>1138</v>
      </c>
      <c r="G53" s="2" t="s">
        <v>1138</v>
      </c>
      <c r="H53" s="2" t="s">
        <v>1138</v>
      </c>
      <c r="I53" s="2" t="s">
        <v>1138</v>
      </c>
      <c r="J53" s="2" t="s">
        <v>45</v>
      </c>
      <c r="K53" s="2" t="s">
        <v>91</v>
      </c>
      <c r="L53" s="2" t="s">
        <v>18</v>
      </c>
    </row>
    <row r="54" spans="1:12" x14ac:dyDescent="0.25">
      <c r="A54">
        <v>53</v>
      </c>
      <c r="B54" s="2" t="s">
        <v>544</v>
      </c>
      <c r="C54" s="2" t="s">
        <v>545</v>
      </c>
      <c r="D54" s="2" t="s">
        <v>546</v>
      </c>
      <c r="E54" s="2" t="s">
        <v>547</v>
      </c>
      <c r="F54" s="2" t="s">
        <v>1138</v>
      </c>
      <c r="G54" s="2" t="s">
        <v>1138</v>
      </c>
      <c r="H54" s="2" t="s">
        <v>1138</v>
      </c>
      <c r="I54" s="2" t="s">
        <v>1138</v>
      </c>
      <c r="J54" s="2" t="s">
        <v>45</v>
      </c>
      <c r="K54" s="2" t="s">
        <v>27</v>
      </c>
      <c r="L54" s="2" t="s">
        <v>20</v>
      </c>
    </row>
    <row r="55" spans="1:12" x14ac:dyDescent="0.25">
      <c r="A55">
        <v>54</v>
      </c>
      <c r="B55" s="2" t="s">
        <v>548</v>
      </c>
      <c r="C55" s="2" t="s">
        <v>549</v>
      </c>
      <c r="D55" s="2" t="s">
        <v>550</v>
      </c>
      <c r="E55" s="2" t="s">
        <v>551</v>
      </c>
      <c r="F55" s="2" t="s">
        <v>1138</v>
      </c>
      <c r="G55" s="2" t="s">
        <v>1138</v>
      </c>
      <c r="H55" s="2" t="s">
        <v>1138</v>
      </c>
      <c r="I55" s="2" t="s">
        <v>1138</v>
      </c>
      <c r="J55" s="2" t="s">
        <v>45</v>
      </c>
      <c r="K55" s="2" t="s">
        <v>76</v>
      </c>
      <c r="L55" s="2" t="s">
        <v>18</v>
      </c>
    </row>
    <row r="56" spans="1:12" x14ac:dyDescent="0.25">
      <c r="A56">
        <v>55</v>
      </c>
      <c r="B56" s="2" t="s">
        <v>575</v>
      </c>
      <c r="C56" s="2" t="s">
        <v>576</v>
      </c>
      <c r="D56" s="2" t="s">
        <v>577</v>
      </c>
      <c r="E56" s="2" t="s">
        <v>578</v>
      </c>
      <c r="F56" s="2" t="s">
        <v>1138</v>
      </c>
      <c r="G56" s="2" t="s">
        <v>1138</v>
      </c>
      <c r="H56" s="2" t="s">
        <v>1138</v>
      </c>
      <c r="I56" s="2" t="s">
        <v>1138</v>
      </c>
      <c r="J56" s="2" t="s">
        <v>45</v>
      </c>
      <c r="K56" s="2" t="s">
        <v>125</v>
      </c>
      <c r="L56" s="2" t="s">
        <v>19</v>
      </c>
    </row>
    <row r="57" spans="1:12" x14ac:dyDescent="0.25">
      <c r="A57">
        <v>56</v>
      </c>
      <c r="B57" s="2" t="s">
        <v>582</v>
      </c>
      <c r="C57" s="2" t="s">
        <v>583</v>
      </c>
      <c r="D57" s="2" t="s">
        <v>584</v>
      </c>
      <c r="E57" s="2" t="s">
        <v>585</v>
      </c>
      <c r="F57" s="2" t="s">
        <v>1138</v>
      </c>
      <c r="G57" s="2" t="s">
        <v>1138</v>
      </c>
      <c r="H57" s="2" t="s">
        <v>1138</v>
      </c>
      <c r="I57" s="2" t="s">
        <v>1138</v>
      </c>
      <c r="J57" s="2" t="s">
        <v>45</v>
      </c>
      <c r="K57" s="2" t="s">
        <v>76</v>
      </c>
      <c r="L57" s="2" t="s">
        <v>18</v>
      </c>
    </row>
    <row r="58" spans="1:12" x14ac:dyDescent="0.25">
      <c r="A58">
        <v>57</v>
      </c>
      <c r="B58" s="2" t="s">
        <v>586</v>
      </c>
      <c r="C58" s="2" t="s">
        <v>587</v>
      </c>
      <c r="D58" s="2" t="s">
        <v>588</v>
      </c>
      <c r="E58" s="2" t="s">
        <v>589</v>
      </c>
      <c r="F58" s="2" t="s">
        <v>1138</v>
      </c>
      <c r="G58" s="2" t="s">
        <v>1138</v>
      </c>
      <c r="H58" s="2" t="s">
        <v>1138</v>
      </c>
      <c r="I58" s="2" t="s">
        <v>1138</v>
      </c>
      <c r="J58" s="2" t="s">
        <v>45</v>
      </c>
      <c r="K58" s="2" t="s">
        <v>86</v>
      </c>
      <c r="L58" s="2" t="s">
        <v>18</v>
      </c>
    </row>
    <row r="59" spans="1:12" x14ac:dyDescent="0.25">
      <c r="A59">
        <v>58</v>
      </c>
      <c r="B59" s="2" t="s">
        <v>594</v>
      </c>
      <c r="C59" s="2" t="s">
        <v>595</v>
      </c>
      <c r="D59" s="2" t="s">
        <v>596</v>
      </c>
      <c r="E59" s="2" t="s">
        <v>597</v>
      </c>
      <c r="F59" s="2" t="s">
        <v>1138</v>
      </c>
      <c r="G59" s="2" t="s">
        <v>1138</v>
      </c>
      <c r="H59" s="2" t="s">
        <v>1138</v>
      </c>
      <c r="I59" s="2" t="s">
        <v>1138</v>
      </c>
      <c r="J59" s="2" t="s">
        <v>45</v>
      </c>
      <c r="K59" s="2" t="s">
        <v>76</v>
      </c>
      <c r="L59" s="2" t="s">
        <v>18</v>
      </c>
    </row>
    <row r="60" spans="1:12" x14ac:dyDescent="0.25">
      <c r="A60">
        <v>59</v>
      </c>
      <c r="B60" s="2" t="s">
        <v>601</v>
      </c>
      <c r="C60" s="2" t="s">
        <v>602</v>
      </c>
      <c r="D60" s="2" t="s">
        <v>603</v>
      </c>
      <c r="E60" s="2" t="s">
        <v>604</v>
      </c>
      <c r="F60" s="2" t="s">
        <v>1138</v>
      </c>
      <c r="G60" s="2" t="s">
        <v>1138</v>
      </c>
      <c r="H60" s="2" t="s">
        <v>1138</v>
      </c>
      <c r="I60" s="2" t="s">
        <v>1138</v>
      </c>
      <c r="J60" s="2" t="s">
        <v>45</v>
      </c>
      <c r="K60" s="2" t="s">
        <v>125</v>
      </c>
      <c r="L60" s="2" t="s">
        <v>19</v>
      </c>
    </row>
    <row r="61" spans="1:12" x14ac:dyDescent="0.25">
      <c r="A61">
        <v>60</v>
      </c>
      <c r="B61" s="2" t="s">
        <v>612</v>
      </c>
      <c r="C61" s="2" t="s">
        <v>613</v>
      </c>
      <c r="D61" s="2" t="s">
        <v>614</v>
      </c>
      <c r="E61" s="2" t="s">
        <v>615</v>
      </c>
      <c r="F61" s="2" t="s">
        <v>1138</v>
      </c>
      <c r="G61" s="2" t="s">
        <v>1138</v>
      </c>
      <c r="H61" s="2" t="s">
        <v>1138</v>
      </c>
      <c r="I61" s="2" t="s">
        <v>1138</v>
      </c>
      <c r="J61" s="2" t="s">
        <v>45</v>
      </c>
      <c r="K61" s="2" t="s">
        <v>27</v>
      </c>
      <c r="L61" s="2" t="s">
        <v>20</v>
      </c>
    </row>
    <row r="62" spans="1:12" x14ac:dyDescent="0.25">
      <c r="A62">
        <v>61</v>
      </c>
      <c r="B62" s="2" t="s">
        <v>616</v>
      </c>
      <c r="C62" s="2" t="s">
        <v>617</v>
      </c>
      <c r="D62" s="2" t="s">
        <v>618</v>
      </c>
      <c r="E62" s="2" t="s">
        <v>619</v>
      </c>
      <c r="F62" s="2" t="s">
        <v>1138</v>
      </c>
      <c r="G62" s="2" t="s">
        <v>1138</v>
      </c>
      <c r="H62" s="2" t="s">
        <v>1138</v>
      </c>
      <c r="I62" s="2" t="s">
        <v>1138</v>
      </c>
      <c r="J62" s="2" t="s">
        <v>45</v>
      </c>
      <c r="K62" s="2" t="s">
        <v>81</v>
      </c>
      <c r="L62" s="2" t="s">
        <v>18</v>
      </c>
    </row>
    <row r="63" spans="1:12" x14ac:dyDescent="0.25">
      <c r="A63">
        <v>62</v>
      </c>
      <c r="B63" s="2" t="s">
        <v>624</v>
      </c>
      <c r="C63" s="2" t="s">
        <v>625</v>
      </c>
      <c r="D63" s="2" t="s">
        <v>626</v>
      </c>
      <c r="E63" s="2" t="s">
        <v>627</v>
      </c>
      <c r="F63" s="2" t="s">
        <v>1138</v>
      </c>
      <c r="G63" s="2" t="s">
        <v>1138</v>
      </c>
      <c r="H63" s="2" t="s">
        <v>1138</v>
      </c>
      <c r="I63" s="2" t="s">
        <v>1138</v>
      </c>
      <c r="J63" s="2" t="s">
        <v>45</v>
      </c>
      <c r="K63" s="2" t="s">
        <v>81</v>
      </c>
      <c r="L63" s="2" t="s">
        <v>18</v>
      </c>
    </row>
    <row r="64" spans="1:12" x14ac:dyDescent="0.25">
      <c r="A64">
        <v>63</v>
      </c>
      <c r="B64" s="2" t="s">
        <v>672</v>
      </c>
      <c r="C64" s="2" t="s">
        <v>673</v>
      </c>
      <c r="D64" s="2" t="s">
        <v>674</v>
      </c>
      <c r="E64" s="2" t="s">
        <v>675</v>
      </c>
      <c r="F64" s="2" t="s">
        <v>1138</v>
      </c>
      <c r="G64" s="2" t="s">
        <v>1138</v>
      </c>
      <c r="H64" s="2" t="s">
        <v>1138</v>
      </c>
      <c r="I64" s="2" t="s">
        <v>1138</v>
      </c>
      <c r="J64" s="2" t="s">
        <v>45</v>
      </c>
      <c r="K64" s="2" t="s">
        <v>27</v>
      </c>
      <c r="L64" s="2" t="s">
        <v>20</v>
      </c>
    </row>
    <row r="65" spans="1:12" x14ac:dyDescent="0.25">
      <c r="A65">
        <v>64</v>
      </c>
      <c r="B65" s="2" t="s">
        <v>684</v>
      </c>
      <c r="C65" s="2" t="s">
        <v>685</v>
      </c>
      <c r="D65" s="2" t="s">
        <v>686</v>
      </c>
      <c r="E65" s="2" t="s">
        <v>687</v>
      </c>
      <c r="F65" s="2" t="s">
        <v>1138</v>
      </c>
      <c r="G65" s="2" t="s">
        <v>1138</v>
      </c>
      <c r="H65" s="2" t="s">
        <v>1138</v>
      </c>
      <c r="I65" s="2" t="s">
        <v>1138</v>
      </c>
      <c r="J65" s="2" t="s">
        <v>45</v>
      </c>
      <c r="K65" s="2" t="s">
        <v>27</v>
      </c>
      <c r="L65" s="2" t="s">
        <v>20</v>
      </c>
    </row>
    <row r="66" spans="1:12" x14ac:dyDescent="0.25">
      <c r="A66">
        <v>65</v>
      </c>
      <c r="B66" s="2" t="s">
        <v>696</v>
      </c>
      <c r="C66" s="2" t="s">
        <v>697</v>
      </c>
      <c r="D66" s="2" t="s">
        <v>698</v>
      </c>
      <c r="E66" s="2" t="s">
        <v>699</v>
      </c>
      <c r="F66" s="2" t="s">
        <v>1138</v>
      </c>
      <c r="G66" s="2" t="s">
        <v>1138</v>
      </c>
      <c r="H66" s="2" t="s">
        <v>1138</v>
      </c>
      <c r="I66" s="2" t="s">
        <v>1138</v>
      </c>
      <c r="J66" s="2" t="s">
        <v>45</v>
      </c>
      <c r="K66" s="2" t="s">
        <v>76</v>
      </c>
      <c r="L66" s="2" t="s">
        <v>18</v>
      </c>
    </row>
    <row r="67" spans="1:12" x14ac:dyDescent="0.25">
      <c r="A67">
        <v>66</v>
      </c>
      <c r="B67" s="2" t="s">
        <v>700</v>
      </c>
      <c r="C67" s="2" t="s">
        <v>701</v>
      </c>
      <c r="D67" s="2" t="s">
        <v>702</v>
      </c>
      <c r="E67" s="2" t="s">
        <v>703</v>
      </c>
      <c r="F67" s="2" t="s">
        <v>1138</v>
      </c>
      <c r="G67" s="2" t="s">
        <v>1138</v>
      </c>
      <c r="H67" s="2" t="s">
        <v>1138</v>
      </c>
      <c r="I67" s="2" t="s">
        <v>1138</v>
      </c>
      <c r="J67" s="2" t="s">
        <v>45</v>
      </c>
      <c r="K67" s="2" t="s">
        <v>86</v>
      </c>
      <c r="L67" s="2" t="s">
        <v>18</v>
      </c>
    </row>
    <row r="68" spans="1:12" x14ac:dyDescent="0.25">
      <c r="A68">
        <v>67</v>
      </c>
      <c r="B68" s="2" t="s">
        <v>749</v>
      </c>
      <c r="C68" s="2" t="s">
        <v>750</v>
      </c>
      <c r="D68" s="2" t="s">
        <v>751</v>
      </c>
      <c r="E68" s="2" t="s">
        <v>752</v>
      </c>
      <c r="F68" s="2" t="s">
        <v>1138</v>
      </c>
      <c r="G68" s="2" t="s">
        <v>1138</v>
      </c>
      <c r="H68" s="2" t="s">
        <v>1138</v>
      </c>
      <c r="I68" s="2" t="s">
        <v>1138</v>
      </c>
      <c r="J68" s="2" t="s">
        <v>45</v>
      </c>
      <c r="K68" s="2" t="s">
        <v>91</v>
      </c>
      <c r="L68" s="2" t="s">
        <v>18</v>
      </c>
    </row>
    <row r="69" spans="1:12" x14ac:dyDescent="0.25">
      <c r="A69">
        <v>68</v>
      </c>
      <c r="B69" s="2" t="s">
        <v>782</v>
      </c>
      <c r="C69" s="2" t="s">
        <v>783</v>
      </c>
      <c r="D69" s="2" t="s">
        <v>784</v>
      </c>
      <c r="E69" s="2" t="s">
        <v>615</v>
      </c>
      <c r="F69" s="2" t="s">
        <v>1138</v>
      </c>
      <c r="G69" s="2" t="s">
        <v>1138</v>
      </c>
      <c r="H69" s="2" t="s">
        <v>1138</v>
      </c>
      <c r="I69" s="2" t="s">
        <v>1138</v>
      </c>
      <c r="J69" s="2" t="s">
        <v>45</v>
      </c>
      <c r="K69" s="2" t="s">
        <v>27</v>
      </c>
      <c r="L69" s="2" t="s">
        <v>20</v>
      </c>
    </row>
    <row r="70" spans="1:12" x14ac:dyDescent="0.25">
      <c r="A70">
        <v>69</v>
      </c>
      <c r="B70" s="2" t="s">
        <v>793</v>
      </c>
      <c r="C70" s="2" t="s">
        <v>794</v>
      </c>
      <c r="D70" s="2" t="s">
        <v>795</v>
      </c>
      <c r="E70" s="2" t="s">
        <v>796</v>
      </c>
      <c r="F70" s="2" t="s">
        <v>1138</v>
      </c>
      <c r="G70" s="2" t="s">
        <v>1138</v>
      </c>
      <c r="H70" s="2" t="s">
        <v>1138</v>
      </c>
      <c r="I70" s="2" t="s">
        <v>1138</v>
      </c>
      <c r="J70" s="2" t="s">
        <v>45</v>
      </c>
      <c r="K70" s="2" t="s">
        <v>27</v>
      </c>
      <c r="L70" s="2" t="s">
        <v>20</v>
      </c>
    </row>
    <row r="71" spans="1:12" x14ac:dyDescent="0.25">
      <c r="A71">
        <v>70</v>
      </c>
      <c r="B71" s="2" t="s">
        <v>803</v>
      </c>
      <c r="C71" s="2" t="s">
        <v>804</v>
      </c>
      <c r="D71" s="2" t="s">
        <v>805</v>
      </c>
      <c r="E71" s="2" t="s">
        <v>806</v>
      </c>
      <c r="F71" s="2" t="s">
        <v>1138</v>
      </c>
      <c r="G71" s="2" t="s">
        <v>1138</v>
      </c>
      <c r="H71" s="2" t="s">
        <v>1138</v>
      </c>
      <c r="I71" s="2" t="s">
        <v>1138</v>
      </c>
      <c r="J71" s="2" t="s">
        <v>45</v>
      </c>
      <c r="K71" s="2" t="s">
        <v>27</v>
      </c>
      <c r="L71" s="2" t="s">
        <v>20</v>
      </c>
    </row>
    <row r="72" spans="1:12" x14ac:dyDescent="0.25">
      <c r="A72">
        <v>71</v>
      </c>
      <c r="B72" s="2" t="s">
        <v>811</v>
      </c>
      <c r="C72" s="2" t="s">
        <v>812</v>
      </c>
      <c r="D72" s="2" t="s">
        <v>813</v>
      </c>
      <c r="E72" s="2" t="s">
        <v>814</v>
      </c>
      <c r="F72" s="2" t="s">
        <v>1138</v>
      </c>
      <c r="G72" s="2" t="s">
        <v>1138</v>
      </c>
      <c r="H72" s="2" t="s">
        <v>1138</v>
      </c>
      <c r="I72" s="2" t="s">
        <v>1138</v>
      </c>
      <c r="J72" s="2" t="s">
        <v>45</v>
      </c>
      <c r="K72" s="2" t="s">
        <v>76</v>
      </c>
      <c r="L72" s="2" t="s">
        <v>18</v>
      </c>
    </row>
    <row r="73" spans="1:12" x14ac:dyDescent="0.25">
      <c r="A73">
        <v>72</v>
      </c>
      <c r="B73" s="2" t="s">
        <v>835</v>
      </c>
      <c r="C73" s="2" t="s">
        <v>836</v>
      </c>
      <c r="D73" s="2" t="s">
        <v>837</v>
      </c>
      <c r="E73" s="2" t="s">
        <v>838</v>
      </c>
      <c r="F73" s="2" t="s">
        <v>1138</v>
      </c>
      <c r="G73" s="2" t="s">
        <v>1138</v>
      </c>
      <c r="H73" s="2" t="s">
        <v>1138</v>
      </c>
      <c r="I73" s="2" t="s">
        <v>1138</v>
      </c>
      <c r="J73" s="2" t="s">
        <v>45</v>
      </c>
      <c r="K73" s="2" t="s">
        <v>86</v>
      </c>
      <c r="L73" s="2" t="s">
        <v>18</v>
      </c>
    </row>
    <row r="74" spans="1:12" x14ac:dyDescent="0.25">
      <c r="A74">
        <v>73</v>
      </c>
      <c r="B74" s="2" t="s">
        <v>855</v>
      </c>
      <c r="C74" s="2" t="s">
        <v>856</v>
      </c>
      <c r="D74" s="2" t="s">
        <v>857</v>
      </c>
      <c r="E74" s="2" t="s">
        <v>858</v>
      </c>
      <c r="F74" s="2" t="s">
        <v>1138</v>
      </c>
      <c r="G74" s="2" t="s">
        <v>1138</v>
      </c>
      <c r="H74" s="2" t="s">
        <v>1138</v>
      </c>
      <c r="I74" s="2" t="s">
        <v>1138</v>
      </c>
      <c r="J74" s="2" t="s">
        <v>45</v>
      </c>
      <c r="K74" s="2" t="s">
        <v>125</v>
      </c>
      <c r="L74" s="2" t="s">
        <v>19</v>
      </c>
    </row>
    <row r="75" spans="1:12" x14ac:dyDescent="0.25">
      <c r="A75">
        <v>74</v>
      </c>
      <c r="B75" s="2" t="s">
        <v>859</v>
      </c>
      <c r="C75" s="2" t="s">
        <v>860</v>
      </c>
      <c r="D75" s="2" t="s">
        <v>861</v>
      </c>
      <c r="E75" s="2" t="s">
        <v>862</v>
      </c>
      <c r="F75" s="2" t="s">
        <v>1138</v>
      </c>
      <c r="G75" s="2" t="s">
        <v>1138</v>
      </c>
      <c r="H75" s="2" t="s">
        <v>1138</v>
      </c>
      <c r="I75" s="2" t="s">
        <v>1138</v>
      </c>
      <c r="J75" s="2" t="s">
        <v>45</v>
      </c>
      <c r="K75" s="2" t="s">
        <v>76</v>
      </c>
      <c r="L75" s="2" t="s">
        <v>18</v>
      </c>
    </row>
    <row r="76" spans="1:12" x14ac:dyDescent="0.25">
      <c r="A76">
        <v>75</v>
      </c>
      <c r="B76" s="2" t="s">
        <v>867</v>
      </c>
      <c r="C76" s="2" t="s">
        <v>868</v>
      </c>
      <c r="D76" s="2" t="s">
        <v>869</v>
      </c>
      <c r="E76" s="2" t="s">
        <v>870</v>
      </c>
      <c r="F76" s="2" t="s">
        <v>1138</v>
      </c>
      <c r="G76" s="2" t="s">
        <v>1138</v>
      </c>
      <c r="H76" s="2" t="s">
        <v>1138</v>
      </c>
      <c r="I76" s="2" t="s">
        <v>1138</v>
      </c>
      <c r="J76" s="2" t="s">
        <v>45</v>
      </c>
      <c r="K76" s="2" t="s">
        <v>76</v>
      </c>
      <c r="L76" s="2" t="s">
        <v>18</v>
      </c>
    </row>
    <row r="77" spans="1:12" x14ac:dyDescent="0.25">
      <c r="A77">
        <v>76</v>
      </c>
      <c r="B77" s="2" t="s">
        <v>883</v>
      </c>
      <c r="C77" s="2" t="s">
        <v>884</v>
      </c>
      <c r="D77" s="2" t="s">
        <v>885</v>
      </c>
      <c r="E77" s="2" t="s">
        <v>886</v>
      </c>
      <c r="F77" s="2" t="s">
        <v>1138</v>
      </c>
      <c r="G77" s="2" t="s">
        <v>1138</v>
      </c>
      <c r="H77" s="2" t="s">
        <v>1138</v>
      </c>
      <c r="I77" s="2" t="s">
        <v>1138</v>
      </c>
      <c r="J77" s="2" t="s">
        <v>45</v>
      </c>
      <c r="K77" s="2" t="s">
        <v>27</v>
      </c>
      <c r="L77" s="2" t="s">
        <v>20</v>
      </c>
    </row>
    <row r="78" spans="1:12" x14ac:dyDescent="0.25">
      <c r="A78">
        <v>77</v>
      </c>
      <c r="B78" s="2" t="s">
        <v>899</v>
      </c>
      <c r="C78" s="2" t="s">
        <v>900</v>
      </c>
      <c r="D78" s="2" t="s">
        <v>901</v>
      </c>
      <c r="E78" s="2" t="s">
        <v>902</v>
      </c>
      <c r="F78" s="2" t="s">
        <v>1138</v>
      </c>
      <c r="G78" s="2" t="s">
        <v>1138</v>
      </c>
      <c r="H78" s="2" t="s">
        <v>1138</v>
      </c>
      <c r="I78" s="2" t="s">
        <v>1138</v>
      </c>
      <c r="J78" s="2" t="s">
        <v>45</v>
      </c>
      <c r="K78" s="2" t="s">
        <v>86</v>
      </c>
      <c r="L78" s="2" t="s">
        <v>18</v>
      </c>
    </row>
    <row r="79" spans="1:12" x14ac:dyDescent="0.25">
      <c r="A79">
        <v>78</v>
      </c>
      <c r="B79" s="2" t="s">
        <v>946</v>
      </c>
      <c r="C79" s="2" t="s">
        <v>947</v>
      </c>
      <c r="D79" s="2" t="s">
        <v>948</v>
      </c>
      <c r="E79" s="2" t="s">
        <v>949</v>
      </c>
      <c r="F79" s="2" t="s">
        <v>1138</v>
      </c>
      <c r="G79" s="2" t="s">
        <v>1138</v>
      </c>
      <c r="H79" s="2" t="s">
        <v>1138</v>
      </c>
      <c r="I79" s="2" t="s">
        <v>1138</v>
      </c>
      <c r="J79" s="2" t="s">
        <v>45</v>
      </c>
      <c r="K79" s="2" t="s">
        <v>27</v>
      </c>
      <c r="L79" s="2" t="s">
        <v>20</v>
      </c>
    </row>
    <row r="80" spans="1:12" x14ac:dyDescent="0.25">
      <c r="A80">
        <v>79</v>
      </c>
      <c r="B80" s="2" t="s">
        <v>950</v>
      </c>
      <c r="C80" s="2" t="s">
        <v>951</v>
      </c>
      <c r="D80" s="2" t="s">
        <v>952</v>
      </c>
      <c r="E80" s="2" t="s">
        <v>953</v>
      </c>
      <c r="F80" s="2" t="s">
        <v>1138</v>
      </c>
      <c r="G80" s="2" t="s">
        <v>1138</v>
      </c>
      <c r="H80" s="2" t="s">
        <v>1138</v>
      </c>
      <c r="I80" s="2" t="s">
        <v>1138</v>
      </c>
      <c r="J80" s="2" t="s">
        <v>45</v>
      </c>
      <c r="K80" s="2" t="s">
        <v>125</v>
      </c>
      <c r="L80" s="2" t="s">
        <v>19</v>
      </c>
    </row>
    <row r="81" spans="1:12" x14ac:dyDescent="0.25">
      <c r="A81">
        <v>80</v>
      </c>
      <c r="B81" s="2" t="s">
        <v>966</v>
      </c>
      <c r="C81" s="2" t="s">
        <v>967</v>
      </c>
      <c r="D81" s="2" t="s">
        <v>968</v>
      </c>
      <c r="E81" s="2" t="s">
        <v>969</v>
      </c>
      <c r="F81" s="2" t="s">
        <v>1138</v>
      </c>
      <c r="G81" s="2" t="s">
        <v>1138</v>
      </c>
      <c r="H81" s="2" t="s">
        <v>1138</v>
      </c>
      <c r="I81" s="2" t="s">
        <v>1138</v>
      </c>
      <c r="J81" s="2" t="s">
        <v>45</v>
      </c>
      <c r="K81" s="2" t="s">
        <v>86</v>
      </c>
      <c r="L81" s="2" t="s">
        <v>18</v>
      </c>
    </row>
    <row r="82" spans="1:12" x14ac:dyDescent="0.25">
      <c r="A82">
        <v>81</v>
      </c>
      <c r="B82" s="2" t="s">
        <v>970</v>
      </c>
      <c r="C82" s="2" t="s">
        <v>971</v>
      </c>
      <c r="D82" s="2" t="s">
        <v>972</v>
      </c>
      <c r="E82" s="2" t="s">
        <v>973</v>
      </c>
      <c r="F82" s="2" t="s">
        <v>1138</v>
      </c>
      <c r="G82" s="2" t="s">
        <v>1138</v>
      </c>
      <c r="H82" s="2" t="s">
        <v>1138</v>
      </c>
      <c r="I82" s="2" t="s">
        <v>1138</v>
      </c>
      <c r="J82" s="2" t="s">
        <v>45</v>
      </c>
      <c r="K82" s="2" t="s">
        <v>27</v>
      </c>
      <c r="L82" s="2" t="s">
        <v>20</v>
      </c>
    </row>
    <row r="83" spans="1:12" x14ac:dyDescent="0.25">
      <c r="A83">
        <v>82</v>
      </c>
      <c r="B83" s="2" t="s">
        <v>982</v>
      </c>
      <c r="C83" s="2" t="s">
        <v>983</v>
      </c>
      <c r="D83" s="2" t="s">
        <v>984</v>
      </c>
      <c r="E83" s="2" t="s">
        <v>985</v>
      </c>
      <c r="F83" s="2" t="s">
        <v>1138</v>
      </c>
      <c r="G83" s="2" t="s">
        <v>1138</v>
      </c>
      <c r="H83" s="2" t="s">
        <v>1138</v>
      </c>
      <c r="I83" s="2" t="s">
        <v>1138</v>
      </c>
      <c r="J83" s="2" t="s">
        <v>45</v>
      </c>
      <c r="K83" s="2" t="s">
        <v>86</v>
      </c>
      <c r="L83" s="2" t="s">
        <v>18</v>
      </c>
    </row>
    <row r="84" spans="1:12" x14ac:dyDescent="0.25">
      <c r="A84">
        <v>83</v>
      </c>
      <c r="B84" s="2" t="s">
        <v>986</v>
      </c>
      <c r="C84" s="2" t="s">
        <v>987</v>
      </c>
      <c r="D84" s="2" t="s">
        <v>988</v>
      </c>
      <c r="E84" s="2" t="s">
        <v>989</v>
      </c>
      <c r="F84" s="2" t="s">
        <v>1138</v>
      </c>
      <c r="G84" s="2" t="s">
        <v>1138</v>
      </c>
      <c r="H84" s="2" t="s">
        <v>1138</v>
      </c>
      <c r="I84" s="2" t="s">
        <v>1138</v>
      </c>
      <c r="J84" s="2" t="s">
        <v>45</v>
      </c>
      <c r="K84" s="2" t="s">
        <v>27</v>
      </c>
      <c r="L84" s="2" t="s">
        <v>20</v>
      </c>
    </row>
    <row r="85" spans="1:12" x14ac:dyDescent="0.25">
      <c r="A85">
        <v>84</v>
      </c>
      <c r="B85" s="2" t="s">
        <v>994</v>
      </c>
      <c r="C85" s="2" t="s">
        <v>995</v>
      </c>
      <c r="D85" s="2" t="s">
        <v>996</v>
      </c>
      <c r="E85" s="2" t="s">
        <v>997</v>
      </c>
      <c r="F85" s="2" t="s">
        <v>1138</v>
      </c>
      <c r="G85" s="2" t="s">
        <v>1138</v>
      </c>
      <c r="H85" s="2" t="s">
        <v>1138</v>
      </c>
      <c r="I85" s="2" t="s">
        <v>1138</v>
      </c>
      <c r="J85" s="2" t="s">
        <v>45</v>
      </c>
      <c r="K85" s="2" t="s">
        <v>125</v>
      </c>
      <c r="L85" s="2" t="s">
        <v>19</v>
      </c>
    </row>
    <row r="86" spans="1:12" x14ac:dyDescent="0.25">
      <c r="A86">
        <v>85</v>
      </c>
      <c r="B86" s="2" t="s">
        <v>998</v>
      </c>
      <c r="C86" s="2" t="s">
        <v>999</v>
      </c>
      <c r="D86" s="2" t="s">
        <v>1000</v>
      </c>
      <c r="E86" s="2" t="s">
        <v>1001</v>
      </c>
      <c r="F86" s="2" t="s">
        <v>1138</v>
      </c>
      <c r="G86" s="2" t="s">
        <v>1138</v>
      </c>
      <c r="H86" s="2" t="s">
        <v>1138</v>
      </c>
      <c r="I86" s="2" t="s">
        <v>1138</v>
      </c>
      <c r="J86" s="2" t="s">
        <v>45</v>
      </c>
      <c r="K86" s="2" t="s">
        <v>86</v>
      </c>
      <c r="L86" s="2" t="s">
        <v>18</v>
      </c>
    </row>
    <row r="87" spans="1:12" x14ac:dyDescent="0.25">
      <c r="A87">
        <v>86</v>
      </c>
      <c r="B87" s="2" t="s">
        <v>1002</v>
      </c>
      <c r="C87" s="2" t="s">
        <v>1003</v>
      </c>
      <c r="D87" s="2" t="s">
        <v>1004</v>
      </c>
      <c r="E87" s="2" t="s">
        <v>1005</v>
      </c>
      <c r="F87" s="2" t="s">
        <v>1138</v>
      </c>
      <c r="G87" s="2" t="s">
        <v>1138</v>
      </c>
      <c r="H87" s="2" t="s">
        <v>1138</v>
      </c>
      <c r="I87" s="2" t="s">
        <v>1138</v>
      </c>
      <c r="J87" s="2" t="s">
        <v>45</v>
      </c>
      <c r="K87" s="2" t="s">
        <v>125</v>
      </c>
      <c r="L87" s="2" t="s">
        <v>19</v>
      </c>
    </row>
    <row r="88" spans="1:12" x14ac:dyDescent="0.25">
      <c r="A88">
        <v>87</v>
      </c>
      <c r="B88" s="2" t="s">
        <v>1006</v>
      </c>
      <c r="C88" s="2" t="s">
        <v>1007</v>
      </c>
      <c r="D88" s="2" t="s">
        <v>1008</v>
      </c>
      <c r="E88" s="2" t="s">
        <v>1009</v>
      </c>
      <c r="F88" s="2" t="s">
        <v>1138</v>
      </c>
      <c r="G88" s="2" t="s">
        <v>1138</v>
      </c>
      <c r="H88" s="2" t="s">
        <v>1138</v>
      </c>
      <c r="I88" s="2" t="s">
        <v>1138</v>
      </c>
      <c r="J88" s="2" t="s">
        <v>45</v>
      </c>
      <c r="K88" s="2" t="s">
        <v>125</v>
      </c>
      <c r="L88" s="2" t="s">
        <v>19</v>
      </c>
    </row>
    <row r="89" spans="1:12" x14ac:dyDescent="0.25">
      <c r="A89">
        <v>88</v>
      </c>
      <c r="D89" s="17" t="s">
        <v>1120</v>
      </c>
      <c r="E89" s="18" t="s">
        <v>1159</v>
      </c>
      <c r="F89" s="2" t="s">
        <v>1138</v>
      </c>
      <c r="G89" s="2" t="s">
        <v>1138</v>
      </c>
      <c r="H89" s="2" t="s">
        <v>1138</v>
      </c>
      <c r="I89" s="2" t="s">
        <v>1138</v>
      </c>
      <c r="J89" s="2" t="s">
        <v>45</v>
      </c>
      <c r="K89" s="2" t="s">
        <v>27</v>
      </c>
      <c r="L89" s="2" t="s">
        <v>20</v>
      </c>
    </row>
    <row r="90" spans="1:12" x14ac:dyDescent="0.25">
      <c r="A90">
        <v>89</v>
      </c>
      <c r="D90" s="17" t="s">
        <v>1121</v>
      </c>
      <c r="E90" s="18" t="s">
        <v>1160</v>
      </c>
      <c r="F90" s="2" t="s">
        <v>1138</v>
      </c>
      <c r="G90" s="2" t="s">
        <v>1138</v>
      </c>
      <c r="H90" s="2" t="s">
        <v>1138</v>
      </c>
      <c r="I90" s="2" t="s">
        <v>1138</v>
      </c>
      <c r="J90" s="2" t="s">
        <v>45</v>
      </c>
      <c r="K90" s="2" t="s">
        <v>27</v>
      </c>
      <c r="L90" s="2" t="s">
        <v>20</v>
      </c>
    </row>
    <row r="91" spans="1:12" x14ac:dyDescent="0.25">
      <c r="A91">
        <v>90</v>
      </c>
      <c r="B91" s="19" t="s">
        <v>1122</v>
      </c>
      <c r="C91" s="19" t="s">
        <v>1123</v>
      </c>
      <c r="D91" s="19" t="s">
        <v>1124</v>
      </c>
      <c r="E91" s="19" t="s">
        <v>1125</v>
      </c>
      <c r="F91" s="2" t="s">
        <v>1138</v>
      </c>
      <c r="G91" s="2" t="s">
        <v>1138</v>
      </c>
      <c r="H91" s="2" t="s">
        <v>1138</v>
      </c>
      <c r="I91" s="2" t="s">
        <v>1138</v>
      </c>
      <c r="J91" s="2" t="s">
        <v>45</v>
      </c>
      <c r="K91" s="2" t="s">
        <v>125</v>
      </c>
      <c r="L91" s="2" t="s">
        <v>19</v>
      </c>
    </row>
    <row r="92" spans="1:12" x14ac:dyDescent="0.25">
      <c r="A92">
        <v>91</v>
      </c>
      <c r="B92" s="19" t="s">
        <v>1126</v>
      </c>
      <c r="C92" s="19" t="s">
        <v>1127</v>
      </c>
      <c r="D92" s="19" t="s">
        <v>1128</v>
      </c>
      <c r="E92" s="19" t="s">
        <v>1129</v>
      </c>
      <c r="F92" s="2" t="s">
        <v>1138</v>
      </c>
      <c r="G92" s="2" t="s">
        <v>1138</v>
      </c>
      <c r="H92" s="2" t="s">
        <v>1138</v>
      </c>
      <c r="I92" s="2" t="s">
        <v>1138</v>
      </c>
      <c r="J92" s="2" t="s">
        <v>45</v>
      </c>
      <c r="K92" s="2" t="s">
        <v>125</v>
      </c>
      <c r="L92" s="2" t="s">
        <v>19</v>
      </c>
    </row>
    <row r="93" spans="1:12" x14ac:dyDescent="0.25">
      <c r="A93">
        <v>92</v>
      </c>
      <c r="B93" s="19" t="s">
        <v>1134</v>
      </c>
      <c r="C93" s="19" t="s">
        <v>1135</v>
      </c>
      <c r="D93" s="19" t="s">
        <v>1136</v>
      </c>
      <c r="E93" s="19" t="s">
        <v>1137</v>
      </c>
      <c r="F93" s="2" t="s">
        <v>1138</v>
      </c>
      <c r="G93" s="2" t="s">
        <v>1138</v>
      </c>
      <c r="H93" s="2" t="s">
        <v>1138</v>
      </c>
      <c r="I93" s="2" t="s">
        <v>1138</v>
      </c>
      <c r="J93" s="2" t="s">
        <v>45</v>
      </c>
      <c r="K93" s="2" t="s">
        <v>27</v>
      </c>
      <c r="L93" s="2" t="s">
        <v>20</v>
      </c>
    </row>
  </sheetData>
  <autoFilter ref="A1:L93" xr:uid="{C5AE474D-0E0C-44B0-9E94-A1EC1A0FB14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 list</vt:lpstr>
      <vt:lpstr>Sheet2</vt:lpstr>
      <vt:lpstr>Danh sach hoàn thành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Nguyen, Thi Thu Huong</dc:creator>
  <cp:lastModifiedBy>Nguyen, Thi Thu Huong</cp:lastModifiedBy>
  <dcterms:created xsi:type="dcterms:W3CDTF">2020-01-07T04:40:37Z</dcterms:created>
  <dcterms:modified xsi:type="dcterms:W3CDTF">2020-02-10T10:54:53Z</dcterms:modified>
</cp:coreProperties>
</file>